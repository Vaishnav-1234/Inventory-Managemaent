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User\Desktop\DATA ANALYTICS\Practice\Inventory_Management_Project\"/>
    </mc:Choice>
  </mc:AlternateContent>
  <xr:revisionPtr revIDLastSave="0" documentId="13_ncr:1_{0C20F788-D793-4170-AAB2-CF994C685473}" xr6:coauthVersionLast="45" xr6:coauthVersionMax="47" xr10:uidLastSave="{00000000-0000-0000-0000-000000000000}"/>
  <bookViews>
    <workbookView xWindow="-120" yWindow="-120" windowWidth="20730" windowHeight="11160" activeTab="2" xr2:uid="{A31F09EB-BC4A-4E28-AFD6-656B84808B88}"/>
  </bookViews>
  <sheets>
    <sheet name="Inventory Records Data" sheetId="2" r:id="rId1"/>
    <sheet name="Pivot" sheetId="6" r:id="rId2"/>
    <sheet name=" Pivot 1" sheetId="7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2" l="1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N9" i="2"/>
  <c r="N7" i="2"/>
  <c r="N8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7" i="2"/>
</calcChain>
</file>

<file path=xl/sharedStrings.xml><?xml version="1.0" encoding="utf-8"?>
<sst xmlns="http://schemas.openxmlformats.org/spreadsheetml/2006/main" count="172" uniqueCount="113">
  <si>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</si>
  <si>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</si>
  <si>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</si>
  <si>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</si>
  <si>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</si>
  <si>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</si>
  <si>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</si>
  <si>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</si>
  <si>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</si>
  <si>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</si>
  <si>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</si>
  <si>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</si>
  <si>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</si>
  <si>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</si>
  <si>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</si>
  <si>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</si>
  <si>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</si>
  <si>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</si>
  <si>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</si>
  <si>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</si>
  <si>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</si>
  <si>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</si>
  <si>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</si>
  <si>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</si>
  <si>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</si>
  <si>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</si>
  <si>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</si>
  <si>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</si>
  <si>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</si>
  <si>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</si>
  <si>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</si>
  <si>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</si>
  <si>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</si>
  <si>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</si>
  <si>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</si>
  <si>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</si>
  <si>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</si>
  <si>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</si>
  <si>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</si>
  <si>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</si>
  <si>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</si>
  <si>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</si>
  <si>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</si>
  <si>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</si>
  <si>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</si>
  <si>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</si>
  <si>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</si>
  <si>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</si>
  <si>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</si>
  <si>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</si>
  <si>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</si>
  <si>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</si>
  <si>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</si>
  <si>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</si>
  <si>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</si>
  <si>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</si>
  <si>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</si>
  <si>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</si>
  <si>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</si>
  <si>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</si>
  <si>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</si>
  <si>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</si>
  <si>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</si>
  <si>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</si>
  <si>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</si>
  <si>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</si>
  <si>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</si>
  <si>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</si>
  <si>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</si>
  <si>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</si>
  <si>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</si>
  <si>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</si>
  <si>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</si>
  <si>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</si>
  <si>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</si>
  <si>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</si>
  <si>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</si>
  <si>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</si>
  <si>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</si>
  <si>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</si>
  <si>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</si>
  <si>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</si>
  <si>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</si>
  <si>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</si>
  <si>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</si>
  <si>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</si>
  <si>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</si>
  <si>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</si>
  <si>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</si>
  <si>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</si>
  <si>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</si>
  <si>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</si>
  <si>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</si>
  <si>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</si>
  <si>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</si>
  <si>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</si>
  <si>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</si>
  <si>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</si>
  <si>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</si>
  <si>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</si>
  <si>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</si>
  <si>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</si>
  <si>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Row Labels</t>
  </si>
  <si>
    <t>Grand Total</t>
  </si>
  <si>
    <t>Sum of Cost Price
Total (USD)</t>
  </si>
  <si>
    <t>Flag</t>
  </si>
  <si>
    <t>Stock Utilization %</t>
  </si>
  <si>
    <t>Sum of Number of 
Units Sold</t>
  </si>
  <si>
    <t>Top 10 Products</t>
  </si>
  <si>
    <t>Record Alert</t>
  </si>
  <si>
    <t>Sales Status</t>
  </si>
  <si>
    <t>Rank By Cost</t>
  </si>
  <si>
    <t>Inventory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</si>
</sst>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/>
    <xf numFmtId="0" fontId="5" fillId="0" borderId="6" xfId="0" applyFont="1" applyBorder="1" applyAlignment="1">
      <alignment vertical="center"/>
    </xf>
    <xf numFmtId="9" fontId="5" fillId="0" borderId="6" xfId="1" applyFont="1" applyBorder="1" applyAlignment="1">
      <alignment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6.624481134262" createdVersion="6" refreshedVersion="6" minRefreshableVersion="3" recordCount="46" xr:uid="{9AF8ABB4-BD59-4DC6-9369-F960E4264BB3}">
  <cacheSource type="worksheet">
    <worksheetSource name="Table1"/>
  </cacheSource>
  <cacheFields count="10">
    <cacheField name="Product ID" numFmtId="0">
      <sharedItems/>
    </cacheField>
    <cacheField name="Product Name" numFmtId="0">
      <sharedItems count="46">
        <s v="Smartphone"/>
        <s v="Ethernet Cable"/>
        <s v="Keyboard"/>
        <s v="HDD"/>
        <s v="Router"/>
        <s v="USB Flash Drive"/>
        <s v="RAM"/>
        <s v="Laptop"/>
        <s v="Webcam"/>
        <s v="Graphics Card"/>
        <s v="Keyboard Cleaner"/>
        <s v="PC Case"/>
        <s v="USB-C Cable"/>
        <s v="Mouse Pad"/>
        <s v="Power Strip"/>
        <s v="SSD"/>
        <s v="Tablet"/>
        <s v="CPU"/>
        <s v="Desk Lamp"/>
        <s v="Wireless Charger"/>
        <s v="Wireless Earbuds"/>
        <s v="Gaming Mouse"/>
        <s v="Laptop Cooling Pad"/>
        <s v="Power Supply"/>
        <s v="External Hard Drive"/>
        <s v="Laptop Sleeve"/>
        <s v="Monitor"/>
        <s v="Motherboard"/>
        <s v="Thermal Paste"/>
        <s v="Wireless Mouse"/>
        <s v="Cable Management Kit"/>
        <s v="CPU Cooler"/>
        <s v="Gaming Keyboard"/>
        <s v="Gaming Monitor"/>
        <s v="Printer Cable"/>
        <s v="USB Hub"/>
        <s v="USB-C Adapter"/>
        <s v="Anti-Glare Screen Protector"/>
        <s v="Desk Chair"/>
        <s v="Gaming Desk"/>
        <s v="Gaming Headset"/>
        <s v="Headphones"/>
        <s v="Monitor Stand"/>
        <s v="WiFi Adapter"/>
        <s v="External DVD Drive"/>
        <s v="Gaming Chair"/>
      </sharedItems>
    </cacheField>
    <cacheField name="Opening _x000a_Stock" numFmtId="0">
      <sharedItems containsSemiMixedTypes="0" containsString="0" containsNumber="1" containsInteger="1" minValue="15" maxValue="70"/>
    </cacheField>
    <cacheField name="Purchase/_x000a_Stock in" numFmtId="0">
      <sharedItems containsSemiMixedTypes="0" containsString="0" containsNumber="1" containsInteger="1" minValue="6" maxValue="30"/>
    </cacheField>
    <cacheField name="Number of _x000a_Units Sold" numFmtId="0">
      <sharedItems containsSemiMixedTypes="0" containsString="0" containsNumber="1" containsInteger="1" minValue="2" maxValue="20"/>
    </cacheField>
    <cacheField name="Hand-In-_x000a_Stock" numFmtId="0">
      <sharedItems containsSemiMixedTypes="0" containsString="0" containsNumber="1" containsInteger="1" minValue="17" maxValue="80"/>
    </cacheField>
    <cacheField name="Cost Price _x000a_Per Unit (USD)" numFmtId="0">
      <sharedItems containsSemiMixedTypes="0" containsString="0" containsNumber="1" containsInteger="1" minValue="5" maxValue="1200" count="22">
        <n v="900"/>
        <n v="10"/>
        <n v="50"/>
        <n v="60"/>
        <n v="150"/>
        <n v="20"/>
        <n v="80"/>
        <n v="1200"/>
        <n v="600"/>
        <n v="8"/>
        <n v="25"/>
        <n v="120"/>
        <n v="700"/>
        <n v="350"/>
        <n v="30"/>
        <n v="100"/>
        <n v="200"/>
        <n v="500"/>
        <n v="5"/>
        <n v="40"/>
        <n v="15"/>
        <n v="400"/>
      </sharedItems>
    </cacheField>
    <cacheField name="Cost Price_x000a_Total (USD)" numFmtId="0">
      <sharedItems containsSemiMixedTypes="0" containsString="0" containsNumber="1" containsInteger="1" minValue="145" maxValue="72000" count="43">
        <n v="72000"/>
        <n v="750"/>
        <n v="3500"/>
        <n v="4380"/>
        <n v="9750"/>
        <n v="1260"/>
        <n v="4880"/>
        <n v="3000"/>
        <n v="29400"/>
        <n v="392"/>
        <n v="3920"/>
        <n v="488"/>
        <n v="580"/>
        <n v="1300"/>
        <n v="6840"/>
        <n v="38500"/>
        <n v="13300"/>
        <n v="1140"/>
        <n v="1530"/>
        <n v="3440"/>
        <n v="2880"/>
        <n v="780"/>
        <n v="4400"/>
        <n v="6400"/>
        <n v="740"/>
        <n v="25000"/>
        <n v="250"/>
        <n v="1800"/>
        <n v="510"/>
        <n v="1700"/>
        <n v="3100"/>
        <n v="11600"/>
        <n v="145"/>
        <n v="465"/>
        <n v="360"/>
        <n v="280"/>
        <n v="3750"/>
        <n v="4200"/>
        <n v="3700"/>
        <n v="840"/>
        <n v="460"/>
        <n v="850"/>
        <n v="3800"/>
      </sharedItems>
    </cacheField>
    <cacheField name="Flag" numFmtId="0">
      <sharedItems count="2">
        <s v="Normal Stock"/>
        <s v="Low Stock"/>
      </sharedItems>
    </cacheField>
    <cacheField name="Stock Utilization %" numFmtId="9">
      <sharedItems containsSemiMixedTypes="0" containsString="0" containsNumber="1" minValue="7.4999999999999997E-2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6.631486342594" createdVersion="6" refreshedVersion="6" minRefreshableVersion="3" recordCount="46" xr:uid="{B8BEAFEB-1AA3-462F-9657-CA28C42592D3}">
  <cacheSource type="worksheet">
    <worksheetSource name="Table1"/>
  </cacheSource>
  <cacheFields count="10">
    <cacheField name="Product ID" numFmtId="0">
      <sharedItems count="46">
        <s v="P105"/>
        <s v="P114"/>
        <s v="P103"/>
        <s v="P127"/>
        <s v="P107"/>
        <s v="P113"/>
        <s v="P125"/>
        <s v="P101"/>
        <s v="P110"/>
        <s v="P122"/>
        <s v="P138"/>
        <s v="P129"/>
        <s v="P145"/>
        <s v="P132"/>
        <s v="P115"/>
        <s v="P126"/>
        <s v="P106"/>
        <s v="P123"/>
        <s v="P112"/>
        <s v="P144"/>
        <s v="P109"/>
        <s v="P118"/>
        <s v="P139"/>
        <s v="P128"/>
        <s v="P108"/>
        <s v="P143"/>
        <s v="P102"/>
        <s v="P124"/>
        <s v="P133"/>
        <s v="P116"/>
        <s v="P134"/>
        <s v="P130"/>
        <s v="P117"/>
        <s v="P121"/>
        <s v="P137"/>
        <s v="P140"/>
        <s v="P142"/>
        <s v="P141"/>
        <s v="P111"/>
        <s v="P146"/>
        <s v="P119"/>
        <s v="P104"/>
        <s v="P131"/>
        <s v="P135"/>
        <s v="P136"/>
        <s v="P120"/>
      </sharedItems>
    </cacheField>
    <cacheField name="Product Name" numFmtId="0">
      <sharedItems count="46">
        <s v="Smartphone"/>
        <s v="Ethernet Cable"/>
        <s v="Keyboard"/>
        <s v="HDD"/>
        <s v="Router"/>
        <s v="USB Flash Drive"/>
        <s v="RAM"/>
        <s v="Laptop"/>
        <s v="Webcam"/>
        <s v="Graphics Card"/>
        <s v="Keyboard Cleaner"/>
        <s v="PC Case"/>
        <s v="USB-C Cable"/>
        <s v="Mouse Pad"/>
        <s v="Power Strip"/>
        <s v="SSD"/>
        <s v="Tablet"/>
        <s v="CPU"/>
        <s v="Desk Lamp"/>
        <s v="Wireless Charger"/>
        <s v="Wireless Earbuds"/>
        <s v="Gaming Mouse"/>
        <s v="Laptop Cooling Pad"/>
        <s v="Power Supply"/>
        <s v="External Hard Drive"/>
        <s v="Laptop Sleeve"/>
        <s v="Monitor"/>
        <s v="Motherboard"/>
        <s v="Thermal Paste"/>
        <s v="Wireless Mouse"/>
        <s v="Cable Management Kit"/>
        <s v="CPU Cooler"/>
        <s v="Gaming Keyboard"/>
        <s v="Gaming Monitor"/>
        <s v="Printer Cable"/>
        <s v="USB Hub"/>
        <s v="USB-C Adapter"/>
        <s v="Anti-Glare Screen Protector"/>
        <s v="Desk Chair"/>
        <s v="Gaming Desk"/>
        <s v="Gaming Headset"/>
        <s v="Headphones"/>
        <s v="Monitor Stand"/>
        <s v="WiFi Adapter"/>
        <s v="External DVD Drive"/>
        <s v="Gaming Chair"/>
      </sharedItems>
    </cacheField>
    <cacheField name="Opening _x000a_Stock" numFmtId="0">
      <sharedItems containsSemiMixedTypes="0" containsString="0" containsNumber="1" containsInteger="1" minValue="15" maxValue="70"/>
    </cacheField>
    <cacheField name="Purchase/_x000a_Stock in" numFmtId="0">
      <sharedItems containsSemiMixedTypes="0" containsString="0" containsNumber="1" containsInteger="1" minValue="6" maxValue="30"/>
    </cacheField>
    <cacheField name="Number of _x000a_Units Sold" numFmtId="0">
      <sharedItems containsSemiMixedTypes="0" containsString="0" containsNumber="1" containsInteger="1" minValue="2" maxValue="20"/>
    </cacheField>
    <cacheField name="Hand-In-_x000a_Stock" numFmtId="0">
      <sharedItems containsSemiMixedTypes="0" containsString="0" containsNumber="1" containsInteger="1" minValue="17" maxValue="80"/>
    </cacheField>
    <cacheField name="Cost Price _x000a_Per Unit (USD)" numFmtId="0">
      <sharedItems containsSemiMixedTypes="0" containsString="0" containsNumber="1" containsInteger="1" minValue="5" maxValue="1200"/>
    </cacheField>
    <cacheField name="Cost Price_x000a_Total (USD)" numFmtId="0">
      <sharedItems containsSemiMixedTypes="0" containsString="0" containsNumber="1" containsInteger="1" minValue="145" maxValue="72000"/>
    </cacheField>
    <cacheField name="Flag" numFmtId="0">
      <sharedItems count="2">
        <s v="Normal Stock"/>
        <s v="Low Stock"/>
      </sharedItems>
    </cacheField>
    <cacheField name="Stock Utilization %" numFmtId="9">
      <sharedItems containsSemiMixedTypes="0" containsString="0" containsNumber="1" minValue="7.4999999999999997E-2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P105"/>
    <x v="0"/>
    <n v="70"/>
    <n v="30"/>
    <n v="20"/>
    <n v="80"/>
    <x v="0"/>
    <x v="0"/>
    <x v="0"/>
    <n v="0.2"/>
  </r>
  <r>
    <s v="P114"/>
    <x v="1"/>
    <n v="60"/>
    <n v="30"/>
    <n v="15"/>
    <n v="75"/>
    <x v="1"/>
    <x v="1"/>
    <x v="0"/>
    <n v="0.16666666666666666"/>
  </r>
  <r>
    <s v="P103"/>
    <x v="2"/>
    <n v="60"/>
    <n v="25"/>
    <n v="15"/>
    <n v="70"/>
    <x v="2"/>
    <x v="2"/>
    <x v="0"/>
    <n v="0.17647058823529413"/>
  </r>
  <r>
    <s v="P127"/>
    <x v="3"/>
    <n v="60"/>
    <n v="25"/>
    <n v="12"/>
    <n v="73"/>
    <x v="3"/>
    <x v="3"/>
    <x v="0"/>
    <n v="0.14117647058823529"/>
  </r>
  <r>
    <s v="P107"/>
    <x v="4"/>
    <n v="55"/>
    <n v="22"/>
    <n v="12"/>
    <n v="65"/>
    <x v="4"/>
    <x v="4"/>
    <x v="0"/>
    <n v="0.15584415584415584"/>
  </r>
  <r>
    <s v="P113"/>
    <x v="5"/>
    <n v="50"/>
    <n v="25"/>
    <n v="12"/>
    <n v="63"/>
    <x v="5"/>
    <x v="5"/>
    <x v="0"/>
    <n v="0.16"/>
  </r>
  <r>
    <s v="P125"/>
    <x v="6"/>
    <n v="50"/>
    <n v="22"/>
    <n v="11"/>
    <n v="61"/>
    <x v="6"/>
    <x v="6"/>
    <x v="0"/>
    <n v="0.15277777777777779"/>
  </r>
  <r>
    <s v="P101"/>
    <x v="7"/>
    <n v="50"/>
    <n v="20"/>
    <n v="10"/>
    <n v="60"/>
    <x v="7"/>
    <x v="0"/>
    <x v="0"/>
    <n v="0.14285714285714285"/>
  </r>
  <r>
    <s v="P110"/>
    <x v="8"/>
    <n v="40"/>
    <n v="20"/>
    <n v="10"/>
    <n v="50"/>
    <x v="3"/>
    <x v="7"/>
    <x v="0"/>
    <n v="0.16666666666666666"/>
  </r>
  <r>
    <s v="P122"/>
    <x v="9"/>
    <n v="40"/>
    <n v="18"/>
    <n v="9"/>
    <n v="49"/>
    <x v="8"/>
    <x v="8"/>
    <x v="0"/>
    <n v="0.15517241379310345"/>
  </r>
  <r>
    <s v="P138"/>
    <x v="10"/>
    <n v="40"/>
    <n v="18"/>
    <n v="9"/>
    <n v="49"/>
    <x v="9"/>
    <x v="9"/>
    <x v="0"/>
    <n v="0.15517241379310345"/>
  </r>
  <r>
    <s v="P129"/>
    <x v="11"/>
    <n v="40"/>
    <n v="18"/>
    <n v="9"/>
    <n v="49"/>
    <x v="6"/>
    <x v="10"/>
    <x v="0"/>
    <n v="0.15517241379310345"/>
  </r>
  <r>
    <s v="P145"/>
    <x v="12"/>
    <n v="50"/>
    <n v="20"/>
    <n v="9"/>
    <n v="61"/>
    <x v="9"/>
    <x v="11"/>
    <x v="0"/>
    <n v="0.12857142857142856"/>
  </r>
  <r>
    <s v="P132"/>
    <x v="13"/>
    <n v="50"/>
    <n v="20"/>
    <n v="8"/>
    <n v="58"/>
    <x v="1"/>
    <x v="12"/>
    <x v="0"/>
    <n v="0.11428571428571428"/>
  </r>
  <r>
    <s v="P115"/>
    <x v="14"/>
    <n v="40"/>
    <n v="20"/>
    <n v="8"/>
    <n v="52"/>
    <x v="10"/>
    <x v="13"/>
    <x v="0"/>
    <n v="0.13333333333333333"/>
  </r>
  <r>
    <s v="P126"/>
    <x v="15"/>
    <n v="45"/>
    <n v="20"/>
    <n v="8"/>
    <n v="57"/>
    <x v="11"/>
    <x v="14"/>
    <x v="0"/>
    <n v="0.12307692307692308"/>
  </r>
  <r>
    <s v="P106"/>
    <x v="16"/>
    <n v="45"/>
    <n v="18"/>
    <n v="8"/>
    <n v="55"/>
    <x v="12"/>
    <x v="15"/>
    <x v="0"/>
    <n v="0.12698412698412698"/>
  </r>
  <r>
    <s v="P123"/>
    <x v="17"/>
    <n v="30"/>
    <n v="15"/>
    <n v="7"/>
    <n v="38"/>
    <x v="13"/>
    <x v="16"/>
    <x v="0"/>
    <n v="0.15555555555555556"/>
  </r>
  <r>
    <s v="P112"/>
    <x v="18"/>
    <n v="30"/>
    <n v="15"/>
    <n v="7"/>
    <n v="38"/>
    <x v="14"/>
    <x v="17"/>
    <x v="0"/>
    <n v="0.15555555555555556"/>
  </r>
  <r>
    <s v="P144"/>
    <x v="19"/>
    <n v="40"/>
    <n v="18"/>
    <n v="7"/>
    <n v="51"/>
    <x v="14"/>
    <x v="18"/>
    <x v="0"/>
    <n v="0.1206896551724138"/>
  </r>
  <r>
    <s v="P109"/>
    <x v="20"/>
    <n v="35"/>
    <n v="15"/>
    <n v="7"/>
    <n v="43"/>
    <x v="6"/>
    <x v="19"/>
    <x v="0"/>
    <n v="0.14000000000000001"/>
  </r>
  <r>
    <s v="P118"/>
    <x v="21"/>
    <n v="30"/>
    <n v="12"/>
    <n v="6"/>
    <n v="36"/>
    <x v="6"/>
    <x v="20"/>
    <x v="0"/>
    <n v="0.14285714285714285"/>
  </r>
  <r>
    <s v="P139"/>
    <x v="22"/>
    <n v="30"/>
    <n v="15"/>
    <n v="6"/>
    <n v="39"/>
    <x v="5"/>
    <x v="21"/>
    <x v="0"/>
    <n v="0.13333333333333333"/>
  </r>
  <r>
    <s v="P128"/>
    <x v="23"/>
    <n v="35"/>
    <n v="15"/>
    <n v="6"/>
    <n v="44"/>
    <x v="15"/>
    <x v="22"/>
    <x v="0"/>
    <n v="0.12"/>
  </r>
  <r>
    <s v="P108"/>
    <x v="24"/>
    <n v="25"/>
    <n v="12"/>
    <n v="5"/>
    <n v="32"/>
    <x v="16"/>
    <x v="23"/>
    <x v="0"/>
    <n v="0.13513513513513514"/>
  </r>
  <r>
    <s v="P143"/>
    <x v="25"/>
    <n v="30"/>
    <n v="12"/>
    <n v="5"/>
    <n v="37"/>
    <x v="5"/>
    <x v="24"/>
    <x v="0"/>
    <n v="0.11904761904761904"/>
  </r>
  <r>
    <s v="P102"/>
    <x v="26"/>
    <n v="40"/>
    <n v="15"/>
    <n v="5"/>
    <n v="50"/>
    <x v="17"/>
    <x v="25"/>
    <x v="0"/>
    <n v="9.0909090909090912E-2"/>
  </r>
  <r>
    <s v="P124"/>
    <x v="27"/>
    <n v="25"/>
    <n v="12"/>
    <n v="5"/>
    <n v="32"/>
    <x v="16"/>
    <x v="23"/>
    <x v="0"/>
    <n v="0.13513513513513514"/>
  </r>
  <r>
    <s v="P133"/>
    <x v="28"/>
    <n v="40"/>
    <n v="15"/>
    <n v="5"/>
    <n v="50"/>
    <x v="18"/>
    <x v="26"/>
    <x v="0"/>
    <n v="9.0909090909090912E-2"/>
  </r>
  <r>
    <s v="P116"/>
    <x v="29"/>
    <n v="35"/>
    <n v="15"/>
    <n v="5"/>
    <n v="45"/>
    <x v="19"/>
    <x v="27"/>
    <x v="0"/>
    <n v="0.1"/>
  </r>
  <r>
    <s v="P134"/>
    <x v="30"/>
    <n v="30"/>
    <n v="12"/>
    <n v="4"/>
    <n v="34"/>
    <x v="20"/>
    <x v="28"/>
    <x v="0"/>
    <n v="9.5238095238095233E-2"/>
  </r>
  <r>
    <s v="P130"/>
    <x v="31"/>
    <n v="30"/>
    <n v="12"/>
    <n v="4"/>
    <n v="34"/>
    <x v="2"/>
    <x v="29"/>
    <x v="0"/>
    <n v="9.5238095238095233E-2"/>
  </r>
  <r>
    <s v="P117"/>
    <x v="32"/>
    <n v="25"/>
    <n v="10"/>
    <n v="4"/>
    <n v="31"/>
    <x v="15"/>
    <x v="30"/>
    <x v="0"/>
    <n v="0.11428571428571428"/>
  </r>
  <r>
    <s v="P121"/>
    <x v="33"/>
    <n v="25"/>
    <n v="10"/>
    <n v="4"/>
    <n v="29"/>
    <x v="21"/>
    <x v="31"/>
    <x v="0"/>
    <n v="0.11428571428571428"/>
  </r>
  <r>
    <s v="P137"/>
    <x v="34"/>
    <n v="25"/>
    <n v="10"/>
    <n v="4"/>
    <n v="29"/>
    <x v="18"/>
    <x v="32"/>
    <x v="0"/>
    <n v="0.11428571428571428"/>
  </r>
  <r>
    <s v="P140"/>
    <x v="35"/>
    <n v="35"/>
    <n v="12"/>
    <n v="4"/>
    <n v="31"/>
    <x v="20"/>
    <x v="33"/>
    <x v="0"/>
    <n v="8.5106382978723402E-2"/>
  </r>
  <r>
    <s v="P142"/>
    <x v="36"/>
    <n v="20"/>
    <n v="10"/>
    <n v="4"/>
    <n v="24"/>
    <x v="20"/>
    <x v="34"/>
    <x v="0"/>
    <n v="0.13333333333333333"/>
  </r>
  <r>
    <s v="P141"/>
    <x v="37"/>
    <n v="25"/>
    <n v="8"/>
    <n v="3"/>
    <n v="28"/>
    <x v="1"/>
    <x v="35"/>
    <x v="0"/>
    <n v="9.0909090909090912E-2"/>
  </r>
  <r>
    <s v="P111"/>
    <x v="38"/>
    <n v="20"/>
    <n v="8"/>
    <n v="3"/>
    <n v="25"/>
    <x v="4"/>
    <x v="36"/>
    <x v="0"/>
    <n v="0.10714285714285714"/>
  </r>
  <r>
    <s v="P146"/>
    <x v="39"/>
    <n v="25"/>
    <n v="10"/>
    <n v="3"/>
    <n v="28"/>
    <x v="4"/>
    <x v="37"/>
    <x v="0"/>
    <n v="8.5714285714285715E-2"/>
  </r>
  <r>
    <s v="P119"/>
    <x v="40"/>
    <n v="20"/>
    <n v="8"/>
    <n v="3"/>
    <n v="25"/>
    <x v="11"/>
    <x v="7"/>
    <x v="0"/>
    <n v="0.10714285714285714"/>
  </r>
  <r>
    <s v="P104"/>
    <x v="41"/>
    <n v="30"/>
    <n v="10"/>
    <n v="3"/>
    <n v="37"/>
    <x v="15"/>
    <x v="38"/>
    <x v="0"/>
    <n v="7.4999999999999997E-2"/>
  </r>
  <r>
    <s v="P131"/>
    <x v="42"/>
    <n v="25"/>
    <n v="10"/>
    <n v="3"/>
    <n v="28"/>
    <x v="14"/>
    <x v="39"/>
    <x v="0"/>
    <n v="8.5714285714285715E-2"/>
  </r>
  <r>
    <s v="P135"/>
    <x v="43"/>
    <n v="20"/>
    <n v="8"/>
    <n v="3"/>
    <n v="23"/>
    <x v="5"/>
    <x v="40"/>
    <x v="0"/>
    <n v="0.10714285714285714"/>
  </r>
  <r>
    <s v="P136"/>
    <x v="44"/>
    <n v="15"/>
    <n v="6"/>
    <n v="2"/>
    <n v="17"/>
    <x v="2"/>
    <x v="41"/>
    <x v="1"/>
    <n v="9.5238095238095233E-2"/>
  </r>
  <r>
    <s v="P120"/>
    <x v="45"/>
    <n v="15"/>
    <n v="6"/>
    <n v="2"/>
    <n v="19"/>
    <x v="16"/>
    <x v="42"/>
    <x v="1"/>
    <n v="9.5238095238095233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n v="70"/>
    <n v="30"/>
    <n v="20"/>
    <n v="80"/>
    <n v="900"/>
    <n v="72000"/>
    <x v="0"/>
    <n v="0.2"/>
  </r>
  <r>
    <x v="1"/>
    <x v="1"/>
    <n v="60"/>
    <n v="30"/>
    <n v="15"/>
    <n v="75"/>
    <n v="10"/>
    <n v="750"/>
    <x v="0"/>
    <n v="0.16666666666666666"/>
  </r>
  <r>
    <x v="2"/>
    <x v="2"/>
    <n v="60"/>
    <n v="25"/>
    <n v="15"/>
    <n v="70"/>
    <n v="50"/>
    <n v="3500"/>
    <x v="0"/>
    <n v="0.17647058823529413"/>
  </r>
  <r>
    <x v="3"/>
    <x v="3"/>
    <n v="60"/>
    <n v="25"/>
    <n v="12"/>
    <n v="73"/>
    <n v="60"/>
    <n v="4380"/>
    <x v="0"/>
    <n v="0.14117647058823529"/>
  </r>
  <r>
    <x v="4"/>
    <x v="4"/>
    <n v="55"/>
    <n v="22"/>
    <n v="12"/>
    <n v="65"/>
    <n v="150"/>
    <n v="9750"/>
    <x v="0"/>
    <n v="0.15584415584415584"/>
  </r>
  <r>
    <x v="5"/>
    <x v="5"/>
    <n v="50"/>
    <n v="25"/>
    <n v="12"/>
    <n v="63"/>
    <n v="20"/>
    <n v="1260"/>
    <x v="0"/>
    <n v="0.16"/>
  </r>
  <r>
    <x v="6"/>
    <x v="6"/>
    <n v="50"/>
    <n v="22"/>
    <n v="11"/>
    <n v="61"/>
    <n v="80"/>
    <n v="4880"/>
    <x v="0"/>
    <n v="0.15277777777777779"/>
  </r>
  <r>
    <x v="7"/>
    <x v="7"/>
    <n v="50"/>
    <n v="20"/>
    <n v="10"/>
    <n v="60"/>
    <n v="1200"/>
    <n v="72000"/>
    <x v="0"/>
    <n v="0.14285714285714285"/>
  </r>
  <r>
    <x v="8"/>
    <x v="8"/>
    <n v="40"/>
    <n v="20"/>
    <n v="10"/>
    <n v="50"/>
    <n v="60"/>
    <n v="3000"/>
    <x v="0"/>
    <n v="0.16666666666666666"/>
  </r>
  <r>
    <x v="9"/>
    <x v="9"/>
    <n v="40"/>
    <n v="18"/>
    <n v="9"/>
    <n v="49"/>
    <n v="600"/>
    <n v="29400"/>
    <x v="0"/>
    <n v="0.15517241379310345"/>
  </r>
  <r>
    <x v="10"/>
    <x v="10"/>
    <n v="40"/>
    <n v="18"/>
    <n v="9"/>
    <n v="49"/>
    <n v="8"/>
    <n v="392"/>
    <x v="0"/>
    <n v="0.15517241379310345"/>
  </r>
  <r>
    <x v="11"/>
    <x v="11"/>
    <n v="40"/>
    <n v="18"/>
    <n v="9"/>
    <n v="49"/>
    <n v="80"/>
    <n v="3920"/>
    <x v="0"/>
    <n v="0.15517241379310345"/>
  </r>
  <r>
    <x v="12"/>
    <x v="12"/>
    <n v="50"/>
    <n v="20"/>
    <n v="9"/>
    <n v="61"/>
    <n v="8"/>
    <n v="488"/>
    <x v="0"/>
    <n v="0.12857142857142856"/>
  </r>
  <r>
    <x v="13"/>
    <x v="13"/>
    <n v="50"/>
    <n v="20"/>
    <n v="8"/>
    <n v="58"/>
    <n v="10"/>
    <n v="580"/>
    <x v="0"/>
    <n v="0.11428571428571428"/>
  </r>
  <r>
    <x v="14"/>
    <x v="14"/>
    <n v="40"/>
    <n v="20"/>
    <n v="8"/>
    <n v="52"/>
    <n v="25"/>
    <n v="1300"/>
    <x v="0"/>
    <n v="0.13333333333333333"/>
  </r>
  <r>
    <x v="15"/>
    <x v="15"/>
    <n v="45"/>
    <n v="20"/>
    <n v="8"/>
    <n v="57"/>
    <n v="120"/>
    <n v="6840"/>
    <x v="0"/>
    <n v="0.12307692307692308"/>
  </r>
  <r>
    <x v="16"/>
    <x v="16"/>
    <n v="45"/>
    <n v="18"/>
    <n v="8"/>
    <n v="55"/>
    <n v="700"/>
    <n v="38500"/>
    <x v="0"/>
    <n v="0.12698412698412698"/>
  </r>
  <r>
    <x v="17"/>
    <x v="17"/>
    <n v="30"/>
    <n v="15"/>
    <n v="7"/>
    <n v="38"/>
    <n v="350"/>
    <n v="13300"/>
    <x v="0"/>
    <n v="0.15555555555555556"/>
  </r>
  <r>
    <x v="18"/>
    <x v="18"/>
    <n v="30"/>
    <n v="15"/>
    <n v="7"/>
    <n v="38"/>
    <n v="30"/>
    <n v="1140"/>
    <x v="0"/>
    <n v="0.15555555555555556"/>
  </r>
  <r>
    <x v="19"/>
    <x v="19"/>
    <n v="40"/>
    <n v="18"/>
    <n v="7"/>
    <n v="51"/>
    <n v="30"/>
    <n v="1530"/>
    <x v="0"/>
    <n v="0.1206896551724138"/>
  </r>
  <r>
    <x v="20"/>
    <x v="20"/>
    <n v="35"/>
    <n v="15"/>
    <n v="7"/>
    <n v="43"/>
    <n v="80"/>
    <n v="3440"/>
    <x v="0"/>
    <n v="0.14000000000000001"/>
  </r>
  <r>
    <x v="21"/>
    <x v="21"/>
    <n v="30"/>
    <n v="12"/>
    <n v="6"/>
    <n v="36"/>
    <n v="80"/>
    <n v="2880"/>
    <x v="0"/>
    <n v="0.14285714285714285"/>
  </r>
  <r>
    <x v="22"/>
    <x v="22"/>
    <n v="30"/>
    <n v="15"/>
    <n v="6"/>
    <n v="39"/>
    <n v="20"/>
    <n v="780"/>
    <x v="0"/>
    <n v="0.13333333333333333"/>
  </r>
  <r>
    <x v="23"/>
    <x v="23"/>
    <n v="35"/>
    <n v="15"/>
    <n v="6"/>
    <n v="44"/>
    <n v="100"/>
    <n v="4400"/>
    <x v="0"/>
    <n v="0.12"/>
  </r>
  <r>
    <x v="24"/>
    <x v="24"/>
    <n v="25"/>
    <n v="12"/>
    <n v="5"/>
    <n v="32"/>
    <n v="200"/>
    <n v="6400"/>
    <x v="0"/>
    <n v="0.13513513513513514"/>
  </r>
  <r>
    <x v="25"/>
    <x v="25"/>
    <n v="30"/>
    <n v="12"/>
    <n v="5"/>
    <n v="37"/>
    <n v="20"/>
    <n v="740"/>
    <x v="0"/>
    <n v="0.11904761904761904"/>
  </r>
  <r>
    <x v="26"/>
    <x v="26"/>
    <n v="40"/>
    <n v="15"/>
    <n v="5"/>
    <n v="50"/>
    <n v="500"/>
    <n v="25000"/>
    <x v="0"/>
    <n v="9.0909090909090912E-2"/>
  </r>
  <r>
    <x v="27"/>
    <x v="27"/>
    <n v="25"/>
    <n v="12"/>
    <n v="5"/>
    <n v="32"/>
    <n v="200"/>
    <n v="6400"/>
    <x v="0"/>
    <n v="0.13513513513513514"/>
  </r>
  <r>
    <x v="28"/>
    <x v="28"/>
    <n v="40"/>
    <n v="15"/>
    <n v="5"/>
    <n v="50"/>
    <n v="5"/>
    <n v="250"/>
    <x v="0"/>
    <n v="9.0909090909090912E-2"/>
  </r>
  <r>
    <x v="29"/>
    <x v="29"/>
    <n v="35"/>
    <n v="15"/>
    <n v="5"/>
    <n v="45"/>
    <n v="40"/>
    <n v="1800"/>
    <x v="0"/>
    <n v="0.1"/>
  </r>
  <r>
    <x v="30"/>
    <x v="30"/>
    <n v="30"/>
    <n v="12"/>
    <n v="4"/>
    <n v="34"/>
    <n v="15"/>
    <n v="510"/>
    <x v="0"/>
    <n v="9.5238095238095233E-2"/>
  </r>
  <r>
    <x v="31"/>
    <x v="31"/>
    <n v="30"/>
    <n v="12"/>
    <n v="4"/>
    <n v="34"/>
    <n v="50"/>
    <n v="1700"/>
    <x v="0"/>
    <n v="9.5238095238095233E-2"/>
  </r>
  <r>
    <x v="32"/>
    <x v="32"/>
    <n v="25"/>
    <n v="10"/>
    <n v="4"/>
    <n v="31"/>
    <n v="100"/>
    <n v="3100"/>
    <x v="0"/>
    <n v="0.11428571428571428"/>
  </r>
  <r>
    <x v="33"/>
    <x v="33"/>
    <n v="25"/>
    <n v="10"/>
    <n v="4"/>
    <n v="29"/>
    <n v="400"/>
    <n v="11600"/>
    <x v="0"/>
    <n v="0.11428571428571428"/>
  </r>
  <r>
    <x v="34"/>
    <x v="34"/>
    <n v="25"/>
    <n v="10"/>
    <n v="4"/>
    <n v="29"/>
    <n v="5"/>
    <n v="145"/>
    <x v="0"/>
    <n v="0.11428571428571428"/>
  </r>
  <r>
    <x v="35"/>
    <x v="35"/>
    <n v="35"/>
    <n v="12"/>
    <n v="4"/>
    <n v="31"/>
    <n v="15"/>
    <n v="465"/>
    <x v="0"/>
    <n v="8.5106382978723402E-2"/>
  </r>
  <r>
    <x v="36"/>
    <x v="36"/>
    <n v="20"/>
    <n v="10"/>
    <n v="4"/>
    <n v="24"/>
    <n v="15"/>
    <n v="360"/>
    <x v="0"/>
    <n v="0.13333333333333333"/>
  </r>
  <r>
    <x v="37"/>
    <x v="37"/>
    <n v="25"/>
    <n v="8"/>
    <n v="3"/>
    <n v="28"/>
    <n v="10"/>
    <n v="280"/>
    <x v="0"/>
    <n v="9.0909090909090912E-2"/>
  </r>
  <r>
    <x v="38"/>
    <x v="38"/>
    <n v="20"/>
    <n v="8"/>
    <n v="3"/>
    <n v="25"/>
    <n v="150"/>
    <n v="3750"/>
    <x v="0"/>
    <n v="0.10714285714285714"/>
  </r>
  <r>
    <x v="39"/>
    <x v="39"/>
    <n v="25"/>
    <n v="10"/>
    <n v="3"/>
    <n v="28"/>
    <n v="150"/>
    <n v="4200"/>
    <x v="0"/>
    <n v="8.5714285714285715E-2"/>
  </r>
  <r>
    <x v="40"/>
    <x v="40"/>
    <n v="20"/>
    <n v="8"/>
    <n v="3"/>
    <n v="25"/>
    <n v="120"/>
    <n v="3000"/>
    <x v="0"/>
    <n v="0.10714285714285714"/>
  </r>
  <r>
    <x v="41"/>
    <x v="41"/>
    <n v="30"/>
    <n v="10"/>
    <n v="3"/>
    <n v="37"/>
    <n v="100"/>
    <n v="3700"/>
    <x v="0"/>
    <n v="7.4999999999999997E-2"/>
  </r>
  <r>
    <x v="42"/>
    <x v="42"/>
    <n v="25"/>
    <n v="10"/>
    <n v="3"/>
    <n v="28"/>
    <n v="30"/>
    <n v="840"/>
    <x v="0"/>
    <n v="8.5714285714285715E-2"/>
  </r>
  <r>
    <x v="43"/>
    <x v="43"/>
    <n v="20"/>
    <n v="8"/>
    <n v="3"/>
    <n v="23"/>
    <n v="20"/>
    <n v="460"/>
    <x v="0"/>
    <n v="0.10714285714285714"/>
  </r>
  <r>
    <x v="44"/>
    <x v="44"/>
    <n v="15"/>
    <n v="6"/>
    <n v="2"/>
    <n v="17"/>
    <n v="50"/>
    <n v="850"/>
    <x v="1"/>
    <n v="9.5238095238095233E-2"/>
  </r>
  <r>
    <x v="45"/>
    <x v="45"/>
    <n v="15"/>
    <n v="6"/>
    <n v="2"/>
    <n v="19"/>
    <n v="200"/>
    <n v="3800"/>
    <x v="1"/>
    <n v="9.523809523809523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A2745-2826-434E-97B8-DB816ABAE279}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 Name">
  <location ref="A3:B15" firstHeaderRow="1" firstDataRow="1" firstDataCol="1"/>
  <pivotFields count="10">
    <pivotField showAll="0"/>
    <pivotField axis="axisRow" showAll="0" measureFilter="1" sortType="descending">
      <items count="47">
        <item x="37"/>
        <item x="30"/>
        <item x="17"/>
        <item x="31"/>
        <item x="38"/>
        <item x="18"/>
        <item x="1"/>
        <item x="44"/>
        <item x="24"/>
        <item x="45"/>
        <item x="39"/>
        <item x="40"/>
        <item x="32"/>
        <item x="33"/>
        <item x="21"/>
        <item x="9"/>
        <item x="3"/>
        <item x="41"/>
        <item x="2"/>
        <item x="10"/>
        <item x="7"/>
        <item x="22"/>
        <item x="25"/>
        <item x="26"/>
        <item x="42"/>
        <item x="27"/>
        <item x="13"/>
        <item x="11"/>
        <item x="14"/>
        <item x="23"/>
        <item x="34"/>
        <item x="6"/>
        <item x="4"/>
        <item x="0"/>
        <item x="15"/>
        <item x="16"/>
        <item x="28"/>
        <item x="5"/>
        <item x="35"/>
        <item x="36"/>
        <item x="12"/>
        <item x="8"/>
        <item x="43"/>
        <item x="19"/>
        <item x="20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23">
        <item x="18"/>
        <item x="9"/>
        <item x="1"/>
        <item x="20"/>
        <item x="5"/>
        <item x="10"/>
        <item x="14"/>
        <item x="19"/>
        <item x="2"/>
        <item x="3"/>
        <item x="6"/>
        <item x="15"/>
        <item x="11"/>
        <item x="4"/>
        <item x="16"/>
        <item x="13"/>
        <item x="21"/>
        <item x="17"/>
        <item x="8"/>
        <item x="12"/>
        <item x="0"/>
        <item x="7"/>
        <item t="default"/>
      </items>
    </pivotField>
    <pivotField dataField="1" showAll="0">
      <items count="44">
        <item x="32"/>
        <item x="26"/>
        <item x="35"/>
        <item x="34"/>
        <item x="9"/>
        <item x="40"/>
        <item x="33"/>
        <item x="11"/>
        <item x="28"/>
        <item x="12"/>
        <item x="24"/>
        <item x="1"/>
        <item x="21"/>
        <item x="39"/>
        <item x="41"/>
        <item x="17"/>
        <item x="5"/>
        <item x="13"/>
        <item x="18"/>
        <item x="29"/>
        <item x="27"/>
        <item x="20"/>
        <item x="7"/>
        <item x="30"/>
        <item x="19"/>
        <item x="2"/>
        <item x="38"/>
        <item x="36"/>
        <item x="42"/>
        <item x="10"/>
        <item x="37"/>
        <item x="3"/>
        <item x="22"/>
        <item x="6"/>
        <item x="23"/>
        <item x="14"/>
        <item x="4"/>
        <item x="31"/>
        <item x="16"/>
        <item x="25"/>
        <item x="8"/>
        <item x="15"/>
        <item x="0"/>
        <item t="default"/>
      </items>
    </pivotField>
    <pivotField showAll="0">
      <items count="3">
        <item x="1"/>
        <item x="0"/>
        <item t="default"/>
      </items>
    </pivotField>
    <pivotField numFmtId="9" showAll="0"/>
  </pivotFields>
  <rowFields count="1">
    <field x="1"/>
  </rowFields>
  <rowItems count="12">
    <i>
      <x v="33"/>
    </i>
    <i>
      <x v="20"/>
    </i>
    <i>
      <x v="35"/>
    </i>
    <i>
      <x v="15"/>
    </i>
    <i>
      <x v="23"/>
    </i>
    <i>
      <x v="2"/>
    </i>
    <i>
      <x v="13"/>
    </i>
    <i>
      <x v="32"/>
    </i>
    <i>
      <x v="34"/>
    </i>
    <i>
      <x v="25"/>
    </i>
    <i>
      <x v="8"/>
    </i>
    <i t="grand">
      <x/>
    </i>
  </rowItems>
  <colItems count="1">
    <i/>
  </colItems>
  <dataFields count="1">
    <dataField name="Sum of Cost Price_x000a_Total (USD)" fld="7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0D324-2407-4E4B-989B-0858665E4082}" name="PivotTable1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0" firstHeaderRow="1" firstDataRow="1" firstDataCol="1"/>
  <pivotFields count="10">
    <pivotField showAll="0"/>
    <pivotField axis="axisRow" showAll="0">
      <items count="47">
        <item x="37"/>
        <item x="30"/>
        <item x="17"/>
        <item x="31"/>
        <item x="38"/>
        <item x="18"/>
        <item x="1"/>
        <item x="44"/>
        <item x="24"/>
        <item x="45"/>
        <item x="39"/>
        <item x="40"/>
        <item x="32"/>
        <item x="33"/>
        <item x="21"/>
        <item x="9"/>
        <item x="3"/>
        <item x="41"/>
        <item x="2"/>
        <item x="10"/>
        <item x="7"/>
        <item x="22"/>
        <item x="25"/>
        <item x="26"/>
        <item x="42"/>
        <item x="27"/>
        <item x="13"/>
        <item x="11"/>
        <item x="14"/>
        <item x="23"/>
        <item x="34"/>
        <item x="6"/>
        <item x="4"/>
        <item x="0"/>
        <item x="15"/>
        <item x="16"/>
        <item x="28"/>
        <item x="5"/>
        <item x="35"/>
        <item x="36"/>
        <item x="12"/>
        <item x="8"/>
        <item x="43"/>
        <item x="19"/>
        <item x="20"/>
        <item x="2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numFmtId="9" showAll="0"/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um of Number of _x000a_Units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FAAEA-5099-4860-BD0D-DAA5A87F7993}" name="Table1" displayName="Table1" ref="B6:O52" totalsRowShown="0" headerRowDxfId="18" dataDxfId="16" headerRowBorderDxfId="17" tableBorderDxfId="15" totalsRowBorderDxfId="14">
  <autoFilter ref="B6:O52" xr:uid="{E41C3C2D-E24D-4D7E-8A56-5F67ED1BCDF4}"/>
  <sortState xmlns:xlrd2="http://schemas.microsoft.com/office/spreadsheetml/2017/richdata2" ref="B7:I52">
    <sortCondition descending="1" ref="F6:F52"/>
  </sortState>
  <tableColumns count="14">
    <tableColumn id="1" xr3:uid="{E187B317-4C20-491F-B129-9CD6953563EC}" name="Product ID" dataDxfId="13"/>
    <tableColumn id="2" xr3:uid="{565941E4-A373-4B8B-A046-3A9555C57F18}" name="Product Name" dataDxfId="12"/>
    <tableColumn id="3" xr3:uid="{174E2DF6-C85B-4062-90AC-CA42CCCFC53C}" name="Opening _x000a_Stock" dataDxfId="11"/>
    <tableColumn id="4" xr3:uid="{D19BCEED-5F48-4599-9395-FCED3A59A649}" name="Purchase/_x000a_Stock in" dataDxfId="10"/>
    <tableColumn id="5" xr3:uid="{9E8FD2FF-597C-41AC-A9B9-DAB28494A83B}" name="Number of _x000a_Units Sold" dataDxfId="9"/>
    <tableColumn id="6" xr3:uid="{D1E07688-B527-4C8D-868E-3A13551A6223}" name="Hand-In-_x000a_Stock" dataDxfId="8"/>
    <tableColumn id="7" xr3:uid="{8FD3BAF1-0238-4569-9D34-DD8DF2BE86D8}" name="Cost Price _x000a_Per Unit (USD)" dataDxfId="7"/>
    <tableColumn id="8" xr3:uid="{A04BEC2C-E595-48FC-B64D-4C9E289223EB}" name="Cost Price_x000a_Total (USD)" dataDxfId="6"/>
    <tableColumn id="9" xr3:uid="{1C4BBADB-A44A-4250-B602-716AD19159DB}" name="Flag" dataDxfId="5">
      <calculatedColumnFormula>IF(Table1[[#This Row],[Hand-In-
Stock]]&lt;20,"Low Stock","Normal Stock")</calculatedColumnFormula>
    </tableColumn>
    <tableColumn id="10" xr3:uid="{ABBD0F65-13E0-4B0F-B2CD-E5FB1CA8701F}" name="Stock Utilization %" dataDxfId="4">
      <calculatedColumnFormula>Table1[[#This Row],[Number of 
Units Sold]]/(Table1[[#This Row],[Opening 
Stock]]+Table1[[#This Row],[Purchase/
Stock in]])</calculatedColumnFormula>
    </tableColumn>
    <tableColumn id="11" xr3:uid="{18536515-BE51-4300-81DD-98C3EE320898}" name="Sales Status" dataDxfId="3">
      <calculatedColumnFormula>IF(Table1[[#This Row],[Number of 
Units Sold]]=0,"No sales","Sold")</calculatedColumnFormula>
    </tableColumn>
    <tableColumn id="12" xr3:uid="{88FBA508-4E2F-4E5A-B2A9-EC5F373F4416}" name="Rank By Cost" dataDxfId="2">
      <calculatedColumnFormula>RANK(Table1[[#This Row],[Cost Price
Total (USD)]],Table1[Cost Price
Total (USD)],0)</calculatedColumnFormula>
    </tableColumn>
    <tableColumn id="13" xr3:uid="{D1B30248-09EF-4A84-9FBE-95B6078638C1}" name="Record Alert" dataDxfId="1">
      <calculatedColumnFormula>IF(Table1[[#This Row],[Number of 
Units Sold]]&lt;AVERAGE(Table1[Hand-In-
Stock]),"Reorder now","Sufficient")</calculatedColumnFormula>
    </tableColumn>
    <tableColumn id="14" xr3:uid="{6B3428DF-16E2-4483-9BA5-F710B61736E1}" name="Inventory Validation" dataDxfId="0">
      <calculatedColumnFormula>IF(Table1[[#This Row],[Hand-In-
Stock]]=Table1[[#This Row],[Opening 
Stock]]+Table1[[#This Row],[Purchase/
Stock in]]-Table1[[#This Row],[Number of 
Units Sold]],"Correct","Mismatch")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O52"/>
  <sheetViews>
    <sheetView showGridLines="0" topLeftCell="B1" workbookViewId="0">
      <selection activeCell="O9" sqref="O9"/>
    </sheetView>
  </sheetViews>
  <sheetFormatPr defaultColWidth="8.875" defaultRowHeight="15"/>
  <cols>
    <col min="1" max="1" width="3.5" style="1" customWidth="1"/>
    <col min="2" max="2" width="12.5" style="1" customWidth="1"/>
    <col min="3" max="3" width="20.875" style="1" customWidth="1"/>
    <col min="4" max="4" width="10.875" style="1" customWidth="1"/>
    <col min="5" max="5" width="12" style="1" customWidth="1"/>
    <col min="6" max="6" width="12.625" style="1" customWidth="1"/>
    <col min="7" max="7" width="10.5" style="1" customWidth="1"/>
    <col min="8" max="8" width="15.125" style="1" customWidth="1"/>
    <col min="9" max="9" width="13.625" style="1" customWidth="1"/>
    <col min="10" max="16384" width="8.875" style="1"/>
  </cols>
  <sheetData>
    <row r="2" spans="2:15" ht="19.5" thickBot="1">
      <c r="B2" s="2" t="s">
        <v>0</v>
      </c>
      <c r="C2" s="2"/>
      <c r="D2" s="2"/>
      <c r="E2" s="2"/>
      <c r="F2" s="2"/>
      <c r="G2" s="2"/>
      <c r="H2" s="2"/>
      <c r="I2" s="2"/>
    </row>
    <row r="4" spans="2:15" ht="19.5" thickBot="1">
      <c r="B4" s="3" t="s">
        <v>1</v>
      </c>
      <c r="C4" s="2"/>
      <c r="D4" s="2"/>
      <c r="E4" s="2"/>
      <c r="F4" s="2"/>
      <c r="G4" s="2"/>
      <c r="H4" s="2"/>
      <c r="I4" s="2"/>
    </row>
    <row r="6" spans="2:15" ht="63">
      <c r="B6" s="7" t="s">
        <v>2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9" t="s">
        <v>9</v>
      </c>
      <c r="J6" s="8" t="s">
        <v>105</v>
      </c>
      <c r="K6" s="8" t="s">
        <v>106</v>
      </c>
      <c r="L6" s="8" t="s">
        <v>110</v>
      </c>
      <c r="M6" s="8" t="s">
        <v>111</v>
      </c>
      <c r="N6" s="8" t="s">
        <v>109</v>
      </c>
      <c r="O6" s="8" t="s">
        <v>112</v>
      </c>
    </row>
    <row r="7" spans="2:15">
      <c r="B7" s="5" t="s">
        <v>18</v>
      </c>
      <c r="C7" s="4" t="s">
        <v>19</v>
      </c>
      <c r="D7" s="4">
        <v>70</v>
      </c>
      <c r="E7" s="4">
        <v>30</v>
      </c>
      <c r="F7" s="4">
        <v>20</v>
      </c>
      <c r="G7" s="4">
        <v>80</v>
      </c>
      <c r="H7" s="4">
        <v>900</v>
      </c>
      <c r="I7" s="6">
        <v>72000</v>
      </c>
      <c r="J7" s="17" t="str">
        <f>IF(Table1[[#This Row],[Hand-In-
Stock]]&lt;20,"Low Stock","Normal Stock")</f>
        <v>Normal Stock</v>
      </c>
      <c r="K7" s="18">
        <f>Table1[[#This Row],[Number of 
Units Sold]]/(Table1[[#This Row],[Opening 
Stock]]+Table1[[#This Row],[Purchase/
Stock in]])</f>
        <v>0.2</v>
      </c>
      <c r="L7" s="17" t="str">
        <f>IF(Table1[[#This Row],[Number of 
Units Sold]]=0,"No sales","Sold")</f>
        <v>Sold</v>
      </c>
      <c r="M7" s="19">
        <f>RANK(Table1[[#This Row],[Cost Price
Total (USD)]],Table1[Cost Price
Total (USD)],0)</f>
        <v>1</v>
      </c>
      <c r="N7" s="19" t="str">
        <f>IF(Table1[[#This Row],[Number of 
Units Sold]]&lt;AVERAGE(Table1[Hand-In-
Stock]),"Reorder now","Sufficient")</f>
        <v>Reorder now</v>
      </c>
      <c r="O7" s="19" t="str">
        <f>IF(Table1[[#This Row],[Hand-In-
Stock]]=Table1[[#This Row],[Opening 
Stock]]+Table1[[#This Row],[Purchase/
Stock in]]-Table1[[#This Row],[Number of 
Units Sold]],"Correct","Mismatch")</f>
        <v>Correct</v>
      </c>
    </row>
    <row r="8" spans="2:15">
      <c r="B8" s="5" t="s">
        <v>36</v>
      </c>
      <c r="C8" s="4" t="s">
        <v>37</v>
      </c>
      <c r="D8" s="4">
        <v>60</v>
      </c>
      <c r="E8" s="4">
        <v>30</v>
      </c>
      <c r="F8" s="4">
        <v>15</v>
      </c>
      <c r="G8" s="4">
        <v>75</v>
      </c>
      <c r="H8" s="4">
        <v>10</v>
      </c>
      <c r="I8" s="6">
        <v>750</v>
      </c>
      <c r="J8" s="17" t="str">
        <f>IF(Table1[[#This Row],[Hand-In-
Stock]]&lt;20,"Low Stock","Normal Stock")</f>
        <v>Normal Stock</v>
      </c>
      <c r="K8" s="18">
        <f>Table1[[#This Row],[Number of 
Units Sold]]/(Table1[[#This Row],[Opening 
Stock]]+Table1[[#This Row],[Purchase/
Stock in]])</f>
        <v>0.16666666666666666</v>
      </c>
      <c r="L8" s="4" t="str">
        <f>IF(Table1[[#This Row],[Number of 
Units Sold]]=0,"No sales","Sold")</f>
        <v>Sold</v>
      </c>
      <c r="M8" s="19">
        <f>RANK(Table1[[#This Row],[Cost Price
Total (USD)]],Table1[Cost Price
Total (USD)],0)</f>
        <v>35</v>
      </c>
      <c r="N8" s="19" t="str">
        <f>IF(Table1[[#This Row],[Number of 
Units Sold]]&lt;AVERAGE(Table1[Hand-In-
Stock]),"Reorder now","Sufficient")</f>
        <v>Reorder now</v>
      </c>
      <c r="O8" s="19" t="str">
        <f>IF(Table1[[#This Row],[Hand-In-
Stock]]=Table1[[#This Row],[Opening 
Stock]]+Table1[[#This Row],[Purchase/
Stock in]]-Table1[[#This Row],[Number of 
Units Sold]],"Correct","Mismatch")</f>
        <v>Correct</v>
      </c>
    </row>
    <row r="9" spans="2:15">
      <c r="B9" s="5" t="s">
        <v>14</v>
      </c>
      <c r="C9" s="4" t="s">
        <v>15</v>
      </c>
      <c r="D9" s="4">
        <v>60</v>
      </c>
      <c r="E9" s="4">
        <v>25</v>
      </c>
      <c r="F9" s="4">
        <v>15</v>
      </c>
      <c r="G9" s="4">
        <v>70</v>
      </c>
      <c r="H9" s="4">
        <v>50</v>
      </c>
      <c r="I9" s="6">
        <v>3500</v>
      </c>
      <c r="J9" s="17" t="str">
        <f>IF(Table1[[#This Row],[Hand-In-
Stock]]&lt;20,"Low Stock","Normal Stock")</f>
        <v>Normal Stock</v>
      </c>
      <c r="K9" s="18">
        <f>Table1[[#This Row],[Number of 
Units Sold]]/(Table1[[#This Row],[Opening 
Stock]]+Table1[[#This Row],[Purchase/
Stock in]])</f>
        <v>0.17647058823529413</v>
      </c>
      <c r="L9" s="4" t="str">
        <f>IF(Table1[[#This Row],[Number of 
Units Sold]]=0,"No sales","Sold")</f>
        <v>Sold</v>
      </c>
      <c r="M9" s="19">
        <f>RANK(Table1[[#This Row],[Cost Price
Total (USD)]],Table1[Cost Price
Total (USD)],0)</f>
        <v>20</v>
      </c>
      <c r="N9" s="19" t="str">
        <f>IF(Table1[[#This Row],[Number of 
Units Sold]]&lt;AVERAGE(Table1[Hand-In-
Stock]),"Reorder now","Sufficient")</f>
        <v>Reorder now</v>
      </c>
      <c r="O9" s="19" t="str">
        <f>IF(Table1[[#This Row],[Hand-In-
Stock]]=Table1[[#This Row],[Opening 
Stock]]+Table1[[#This Row],[Purchase/
Stock in]]-Table1[[#This Row],[Number of 
Units Sold]],"Correct","Mismatch")</f>
        <v>Correct</v>
      </c>
    </row>
    <row r="10" spans="2:15">
      <c r="B10" s="5" t="s">
        <v>62</v>
      </c>
      <c r="C10" s="4" t="s">
        <v>63</v>
      </c>
      <c r="D10" s="4">
        <v>60</v>
      </c>
      <c r="E10" s="4">
        <v>25</v>
      </c>
      <c r="F10" s="4">
        <v>12</v>
      </c>
      <c r="G10" s="4">
        <v>73</v>
      </c>
      <c r="H10" s="4">
        <v>60</v>
      </c>
      <c r="I10" s="6">
        <v>4380</v>
      </c>
      <c r="J10" s="17" t="str">
        <f>IF(Table1[[#This Row],[Hand-In-
Stock]]&lt;20,"Low Stock","Normal Stock")</f>
        <v>Normal Stock</v>
      </c>
      <c r="K10" s="18">
        <f>Table1[[#This Row],[Number of 
Units Sold]]/(Table1[[#This Row],[Opening 
Stock]]+Table1[[#This Row],[Purchase/
Stock in]])</f>
        <v>0.14117647058823529</v>
      </c>
      <c r="L10" s="4" t="str">
        <f>IF(Table1[[#This Row],[Number of 
Units Sold]]=0,"No sales","Sold")</f>
        <v>Sold</v>
      </c>
      <c r="M10" s="19">
        <f>RANK(Table1[[#This Row],[Cost Price
Total (USD)]],Table1[Cost Price
Total (USD)],0)</f>
        <v>14</v>
      </c>
      <c r="N10" s="19" t="str">
        <f>IF(Table1[[#This Row],[Number of 
Units Sold]]&lt;AVERAGE(Table1[Hand-In-
Stock]),"Reorder now","Sufficient")</f>
        <v>Reorder now</v>
      </c>
      <c r="O10" s="19" t="str">
        <f>IF(Table1[[#This Row],[Hand-In-
Stock]]=Table1[[#This Row],[Opening 
Stock]]+Table1[[#This Row],[Purchase/
Stock in]]-Table1[[#This Row],[Number of 
Units Sold]],"Correct","Mismatch")</f>
        <v>Correct</v>
      </c>
    </row>
    <row r="11" spans="2:15">
      <c r="B11" s="5" t="s">
        <v>22</v>
      </c>
      <c r="C11" s="4" t="s">
        <v>23</v>
      </c>
      <c r="D11" s="4">
        <v>55</v>
      </c>
      <c r="E11" s="4">
        <v>22</v>
      </c>
      <c r="F11" s="4">
        <v>12</v>
      </c>
      <c r="G11" s="4">
        <v>65</v>
      </c>
      <c r="H11" s="4">
        <v>150</v>
      </c>
      <c r="I11" s="6">
        <v>9750</v>
      </c>
      <c r="J11" s="17" t="str">
        <f>IF(Table1[[#This Row],[Hand-In-
Stock]]&lt;20,"Low Stock","Normal Stock")</f>
        <v>Normal Stock</v>
      </c>
      <c r="K11" s="18">
        <f>Table1[[#This Row],[Number of 
Units Sold]]/(Table1[[#This Row],[Opening 
Stock]]+Table1[[#This Row],[Purchase/
Stock in]])</f>
        <v>0.15584415584415584</v>
      </c>
      <c r="L11" s="4" t="str">
        <f>IF(Table1[[#This Row],[Number of 
Units Sold]]=0,"No sales","Sold")</f>
        <v>Sold</v>
      </c>
      <c r="M11" s="19">
        <f>RANK(Table1[[#This Row],[Cost Price
Total (USD)]],Table1[Cost Price
Total (USD)],0)</f>
        <v>8</v>
      </c>
      <c r="N11" s="19" t="str">
        <f>IF(Table1[[#This Row],[Number of 
Units Sold]]&lt;AVERAGE(Table1[Hand-In-
Stock]),"Reorder now","Sufficient")</f>
        <v>Reorder now</v>
      </c>
      <c r="O11" s="19" t="str">
        <f>IF(Table1[[#This Row],[Hand-In-
Stock]]=Table1[[#This Row],[Opening 
Stock]]+Table1[[#This Row],[Purchase/
Stock in]]-Table1[[#This Row],[Number of 
Units Sold]],"Correct","Mismatch")</f>
        <v>Correct</v>
      </c>
    </row>
    <row r="12" spans="2:15">
      <c r="B12" s="5" t="s">
        <v>34</v>
      </c>
      <c r="C12" s="4" t="s">
        <v>35</v>
      </c>
      <c r="D12" s="4">
        <v>50</v>
      </c>
      <c r="E12" s="4">
        <v>25</v>
      </c>
      <c r="F12" s="4">
        <v>12</v>
      </c>
      <c r="G12" s="4">
        <v>63</v>
      </c>
      <c r="H12" s="4">
        <v>20</v>
      </c>
      <c r="I12" s="6">
        <v>1260</v>
      </c>
      <c r="J12" s="17" t="str">
        <f>IF(Table1[[#This Row],[Hand-In-
Stock]]&lt;20,"Low Stock","Normal Stock")</f>
        <v>Normal Stock</v>
      </c>
      <c r="K12" s="18">
        <f>Table1[[#This Row],[Number of 
Units Sold]]/(Table1[[#This Row],[Opening 
Stock]]+Table1[[#This Row],[Purchase/
Stock in]])</f>
        <v>0.16</v>
      </c>
      <c r="L12" s="4" t="str">
        <f>IF(Table1[[#This Row],[Number of 
Units Sold]]=0,"No sales","Sold")</f>
        <v>Sold</v>
      </c>
      <c r="M12" s="19">
        <f>RANK(Table1[[#This Row],[Cost Price
Total (USD)]],Table1[Cost Price
Total (USD)],0)</f>
        <v>30</v>
      </c>
      <c r="N12" s="19" t="str">
        <f>IF(Table1[[#This Row],[Number of 
Units Sold]]&lt;AVERAGE(Table1[Hand-In-
Stock]),"Reorder now","Sufficient")</f>
        <v>Reorder now</v>
      </c>
      <c r="O12" s="19" t="str">
        <f>IF(Table1[[#This Row],[Hand-In-
Stock]]=Table1[[#This Row],[Opening 
Stock]]+Table1[[#This Row],[Purchase/
Stock in]]-Table1[[#This Row],[Number of 
Units Sold]],"Correct","Mismatch")</f>
        <v>Correct</v>
      </c>
    </row>
    <row r="13" spans="2:15">
      <c r="B13" s="5" t="s">
        <v>58</v>
      </c>
      <c r="C13" s="4" t="s">
        <v>59</v>
      </c>
      <c r="D13" s="4">
        <v>50</v>
      </c>
      <c r="E13" s="4">
        <v>22</v>
      </c>
      <c r="F13" s="4">
        <v>11</v>
      </c>
      <c r="G13" s="4">
        <v>61</v>
      </c>
      <c r="H13" s="4">
        <v>80</v>
      </c>
      <c r="I13" s="6">
        <v>4880</v>
      </c>
      <c r="J13" s="17" t="str">
        <f>IF(Table1[[#This Row],[Hand-In-
Stock]]&lt;20,"Low Stock","Normal Stock")</f>
        <v>Normal Stock</v>
      </c>
      <c r="K13" s="18">
        <f>Table1[[#This Row],[Number of 
Units Sold]]/(Table1[[#This Row],[Opening 
Stock]]+Table1[[#This Row],[Purchase/
Stock in]])</f>
        <v>0.15277777777777779</v>
      </c>
      <c r="L13" s="4" t="str">
        <f>IF(Table1[[#This Row],[Number of 
Units Sold]]=0,"No sales","Sold")</f>
        <v>Sold</v>
      </c>
      <c r="M13" s="19">
        <f>RANK(Table1[[#This Row],[Cost Price
Total (USD)]],Table1[Cost Price
Total (USD)],0)</f>
        <v>12</v>
      </c>
      <c r="N13" s="19" t="str">
        <f>IF(Table1[[#This Row],[Number of 
Units Sold]]&lt;AVERAGE(Table1[Hand-In-
Stock]),"Reorder now","Sufficient")</f>
        <v>Reorder now</v>
      </c>
      <c r="O13" s="19" t="str">
        <f>IF(Table1[[#This Row],[Hand-In-
Stock]]=Table1[[#This Row],[Opening 
Stock]]+Table1[[#This Row],[Purchase/
Stock in]]-Table1[[#This Row],[Number of 
Units Sold]],"Correct","Mismatch")</f>
        <v>Correct</v>
      </c>
    </row>
    <row r="14" spans="2:15">
      <c r="B14" s="5" t="s">
        <v>10</v>
      </c>
      <c r="C14" s="4" t="s">
        <v>11</v>
      </c>
      <c r="D14" s="4">
        <v>50</v>
      </c>
      <c r="E14" s="4">
        <v>20</v>
      </c>
      <c r="F14" s="4">
        <v>10</v>
      </c>
      <c r="G14" s="4">
        <v>60</v>
      </c>
      <c r="H14" s="4">
        <v>1200</v>
      </c>
      <c r="I14" s="6">
        <v>72000</v>
      </c>
      <c r="J14" s="17" t="str">
        <f>IF(Table1[[#This Row],[Hand-In-
Stock]]&lt;20,"Low Stock","Normal Stock")</f>
        <v>Normal Stock</v>
      </c>
      <c r="K14" s="18">
        <f>Table1[[#This Row],[Number of 
Units Sold]]/(Table1[[#This Row],[Opening 
Stock]]+Table1[[#This Row],[Purchase/
Stock in]])</f>
        <v>0.14285714285714285</v>
      </c>
      <c r="L14" s="4" t="str">
        <f>IF(Table1[[#This Row],[Number of 
Units Sold]]=0,"No sales","Sold")</f>
        <v>Sold</v>
      </c>
      <c r="M14" s="19">
        <f>RANK(Table1[[#This Row],[Cost Price
Total (USD)]],Table1[Cost Price
Total (USD)],0)</f>
        <v>1</v>
      </c>
      <c r="N14" s="19" t="str">
        <f>IF(Table1[[#This Row],[Number of 
Units Sold]]&lt;AVERAGE(Table1[Hand-In-
Stock]),"Reorder now","Sufficient")</f>
        <v>Reorder now</v>
      </c>
      <c r="O14" s="19" t="str">
        <f>IF(Table1[[#This Row],[Hand-In-
Stock]]=Table1[[#This Row],[Opening 
Stock]]+Table1[[#This Row],[Purchase/
Stock in]]-Table1[[#This Row],[Number of 
Units Sold]],"Correct","Mismatch")</f>
        <v>Correct</v>
      </c>
    </row>
    <row r="15" spans="2:15">
      <c r="B15" s="5" t="s">
        <v>28</v>
      </c>
      <c r="C15" s="4" t="s">
        <v>29</v>
      </c>
      <c r="D15" s="4">
        <v>40</v>
      </c>
      <c r="E15" s="4">
        <v>20</v>
      </c>
      <c r="F15" s="4">
        <v>10</v>
      </c>
      <c r="G15" s="4">
        <v>50</v>
      </c>
      <c r="H15" s="4">
        <v>60</v>
      </c>
      <c r="I15" s="6">
        <v>3000</v>
      </c>
      <c r="J15" s="17" t="str">
        <f>IF(Table1[[#This Row],[Hand-In-
Stock]]&lt;20,"Low Stock","Normal Stock")</f>
        <v>Normal Stock</v>
      </c>
      <c r="K15" s="18">
        <f>Table1[[#This Row],[Number of 
Units Sold]]/(Table1[[#This Row],[Opening 
Stock]]+Table1[[#This Row],[Purchase/
Stock in]])</f>
        <v>0.16666666666666666</v>
      </c>
      <c r="L15" s="4" t="str">
        <f>IF(Table1[[#This Row],[Number of 
Units Sold]]=0,"No sales","Sold")</f>
        <v>Sold</v>
      </c>
      <c r="M15" s="19">
        <f>RANK(Table1[[#This Row],[Cost Price
Total (USD)]],Table1[Cost Price
Total (USD)],0)</f>
        <v>23</v>
      </c>
      <c r="N15" s="19" t="str">
        <f>IF(Table1[[#This Row],[Number of 
Units Sold]]&lt;AVERAGE(Table1[Hand-In-
Stock]),"Reorder now","Sufficient")</f>
        <v>Reorder now</v>
      </c>
      <c r="O15" s="19" t="str">
        <f>IF(Table1[[#This Row],[Hand-In-
Stock]]=Table1[[#This Row],[Opening 
Stock]]+Table1[[#This Row],[Purchase/
Stock in]]-Table1[[#This Row],[Number of 
Units Sold]],"Correct","Mismatch")</f>
        <v>Correct</v>
      </c>
    </row>
    <row r="16" spans="2:15">
      <c r="B16" s="5" t="s">
        <v>52</v>
      </c>
      <c r="C16" s="4" t="s">
        <v>53</v>
      </c>
      <c r="D16" s="4">
        <v>40</v>
      </c>
      <c r="E16" s="4">
        <v>18</v>
      </c>
      <c r="F16" s="4">
        <v>9</v>
      </c>
      <c r="G16" s="4">
        <v>49</v>
      </c>
      <c r="H16" s="4">
        <v>600</v>
      </c>
      <c r="I16" s="6">
        <v>29400</v>
      </c>
      <c r="J16" s="17" t="str">
        <f>IF(Table1[[#This Row],[Hand-In-
Stock]]&lt;20,"Low Stock","Normal Stock")</f>
        <v>Normal Stock</v>
      </c>
      <c r="K16" s="18">
        <f>Table1[[#This Row],[Number of 
Units Sold]]/(Table1[[#This Row],[Opening 
Stock]]+Table1[[#This Row],[Purchase/
Stock in]])</f>
        <v>0.15517241379310345</v>
      </c>
      <c r="L16" s="4" t="str">
        <f>IF(Table1[[#This Row],[Number of 
Units Sold]]=0,"No sales","Sold")</f>
        <v>Sold</v>
      </c>
      <c r="M16" s="19">
        <f>RANK(Table1[[#This Row],[Cost Price
Total (USD)]],Table1[Cost Price
Total (USD)],0)</f>
        <v>4</v>
      </c>
      <c r="N16" s="19" t="str">
        <f>IF(Table1[[#This Row],[Number of 
Units Sold]]&lt;AVERAGE(Table1[Hand-In-
Stock]),"Reorder now","Sufficient")</f>
        <v>Reorder now</v>
      </c>
      <c r="O16" s="19" t="str">
        <f>IF(Table1[[#This Row],[Hand-In-
Stock]]=Table1[[#This Row],[Opening 
Stock]]+Table1[[#This Row],[Purchase/
Stock in]]-Table1[[#This Row],[Number of 
Units Sold]],"Correct","Mismatch")</f>
        <v>Correct</v>
      </c>
    </row>
    <row r="17" spans="2:15">
      <c r="B17" s="5" t="s">
        <v>84</v>
      </c>
      <c r="C17" s="4" t="s">
        <v>85</v>
      </c>
      <c r="D17" s="4">
        <v>40</v>
      </c>
      <c r="E17" s="4">
        <v>18</v>
      </c>
      <c r="F17" s="4">
        <v>9</v>
      </c>
      <c r="G17" s="4">
        <v>49</v>
      </c>
      <c r="H17" s="4">
        <v>8</v>
      </c>
      <c r="I17" s="6">
        <v>392</v>
      </c>
      <c r="J17" s="17" t="str">
        <f>IF(Table1[[#This Row],[Hand-In-
Stock]]&lt;20,"Low Stock","Normal Stock")</f>
        <v>Normal Stock</v>
      </c>
      <c r="K17" s="18">
        <f>Table1[[#This Row],[Number of 
Units Sold]]/(Table1[[#This Row],[Opening 
Stock]]+Table1[[#This Row],[Purchase/
Stock in]])</f>
        <v>0.15517241379310345</v>
      </c>
      <c r="L17" s="4" t="str">
        <f>IF(Table1[[#This Row],[Number of 
Units Sold]]=0,"No sales","Sold")</f>
        <v>Sold</v>
      </c>
      <c r="M17" s="19">
        <f>RANK(Table1[[#This Row],[Cost Price
Total (USD)]],Table1[Cost Price
Total (USD)],0)</f>
        <v>42</v>
      </c>
      <c r="N17" s="19" t="str">
        <f>IF(Table1[[#This Row],[Number of 
Units Sold]]&lt;AVERAGE(Table1[Hand-In-
Stock]),"Reorder now","Sufficient")</f>
        <v>Reorder now</v>
      </c>
      <c r="O17" s="19" t="str">
        <f>IF(Table1[[#This Row],[Hand-In-
Stock]]=Table1[[#This Row],[Opening 
Stock]]+Table1[[#This Row],[Purchase/
Stock in]]-Table1[[#This Row],[Number of 
Units Sold]],"Correct","Mismatch")</f>
        <v>Correct</v>
      </c>
    </row>
    <row r="18" spans="2:15">
      <c r="B18" s="5" t="s">
        <v>66</v>
      </c>
      <c r="C18" s="4" t="s">
        <v>67</v>
      </c>
      <c r="D18" s="4">
        <v>40</v>
      </c>
      <c r="E18" s="4">
        <v>18</v>
      </c>
      <c r="F18" s="4">
        <v>9</v>
      </c>
      <c r="G18" s="4">
        <v>49</v>
      </c>
      <c r="H18" s="4">
        <v>80</v>
      </c>
      <c r="I18" s="6">
        <v>3920</v>
      </c>
      <c r="J18" s="17" t="str">
        <f>IF(Table1[[#This Row],[Hand-In-
Stock]]&lt;20,"Low Stock","Normal Stock")</f>
        <v>Normal Stock</v>
      </c>
      <c r="K18" s="18">
        <f>Table1[[#This Row],[Number of 
Units Sold]]/(Table1[[#This Row],[Opening 
Stock]]+Table1[[#This Row],[Purchase/
Stock in]])</f>
        <v>0.15517241379310345</v>
      </c>
      <c r="L18" s="4" t="str">
        <f>IF(Table1[[#This Row],[Number of 
Units Sold]]=0,"No sales","Sold")</f>
        <v>Sold</v>
      </c>
      <c r="M18" s="19">
        <f>RANK(Table1[[#This Row],[Cost Price
Total (USD)]],Table1[Cost Price
Total (USD)],0)</f>
        <v>16</v>
      </c>
      <c r="N18" s="19" t="str">
        <f>IF(Table1[[#This Row],[Number of 
Units Sold]]&lt;AVERAGE(Table1[Hand-In-
Stock]),"Reorder now","Sufficient")</f>
        <v>Reorder now</v>
      </c>
      <c r="O18" s="19" t="str">
        <f>IF(Table1[[#This Row],[Hand-In-
Stock]]=Table1[[#This Row],[Opening 
Stock]]+Table1[[#This Row],[Purchase/
Stock in]]-Table1[[#This Row],[Number of 
Units Sold]],"Correct","Mismatch")</f>
        <v>Correct</v>
      </c>
    </row>
    <row r="19" spans="2:15">
      <c r="B19" s="5" t="s">
        <v>98</v>
      </c>
      <c r="C19" s="4" t="s">
        <v>99</v>
      </c>
      <c r="D19" s="4">
        <v>50</v>
      </c>
      <c r="E19" s="4">
        <v>20</v>
      </c>
      <c r="F19" s="4">
        <v>9</v>
      </c>
      <c r="G19" s="4">
        <v>61</v>
      </c>
      <c r="H19" s="4">
        <v>8</v>
      </c>
      <c r="I19" s="6">
        <v>488</v>
      </c>
      <c r="J19" s="17" t="str">
        <f>IF(Table1[[#This Row],[Hand-In-
Stock]]&lt;20,"Low Stock","Normal Stock")</f>
        <v>Normal Stock</v>
      </c>
      <c r="K19" s="18">
        <f>Table1[[#This Row],[Number of 
Units Sold]]/(Table1[[#This Row],[Opening 
Stock]]+Table1[[#This Row],[Purchase/
Stock in]])</f>
        <v>0.12857142857142856</v>
      </c>
      <c r="L19" s="4" t="str">
        <f>IF(Table1[[#This Row],[Number of 
Units Sold]]=0,"No sales","Sold")</f>
        <v>Sold</v>
      </c>
      <c r="M19" s="19">
        <f>RANK(Table1[[#This Row],[Cost Price
Total (USD)]],Table1[Cost Price
Total (USD)],0)</f>
        <v>39</v>
      </c>
      <c r="N19" s="19" t="str">
        <f>IF(Table1[[#This Row],[Number of 
Units Sold]]&lt;AVERAGE(Table1[Hand-In-
Stock]),"Reorder now","Sufficient")</f>
        <v>Reorder now</v>
      </c>
      <c r="O19" s="19" t="str">
        <f>IF(Table1[[#This Row],[Hand-In-
Stock]]=Table1[[#This Row],[Opening 
Stock]]+Table1[[#This Row],[Purchase/
Stock in]]-Table1[[#This Row],[Number of 
Units Sold]],"Correct","Mismatch")</f>
        <v>Correct</v>
      </c>
    </row>
    <row r="20" spans="2:15">
      <c r="B20" s="5" t="s">
        <v>72</v>
      </c>
      <c r="C20" s="4" t="s">
        <v>73</v>
      </c>
      <c r="D20" s="4">
        <v>50</v>
      </c>
      <c r="E20" s="4">
        <v>20</v>
      </c>
      <c r="F20" s="4">
        <v>8</v>
      </c>
      <c r="G20" s="4">
        <v>58</v>
      </c>
      <c r="H20" s="4">
        <v>10</v>
      </c>
      <c r="I20" s="6">
        <v>580</v>
      </c>
      <c r="J20" s="17" t="str">
        <f>IF(Table1[[#This Row],[Hand-In-
Stock]]&lt;20,"Low Stock","Normal Stock")</f>
        <v>Normal Stock</v>
      </c>
      <c r="K20" s="18">
        <f>Table1[[#This Row],[Number of 
Units Sold]]/(Table1[[#This Row],[Opening 
Stock]]+Table1[[#This Row],[Purchase/
Stock in]])</f>
        <v>0.11428571428571428</v>
      </c>
      <c r="L20" s="4" t="str">
        <f>IF(Table1[[#This Row],[Number of 
Units Sold]]=0,"No sales","Sold")</f>
        <v>Sold</v>
      </c>
      <c r="M20" s="19">
        <f>RANK(Table1[[#This Row],[Cost Price
Total (USD)]],Table1[Cost Price
Total (USD)],0)</f>
        <v>37</v>
      </c>
      <c r="N20" s="19" t="str">
        <f>IF(Table1[[#This Row],[Number of 
Units Sold]]&lt;AVERAGE(Table1[Hand-In-
Stock]),"Reorder now","Sufficient")</f>
        <v>Reorder now</v>
      </c>
      <c r="O20" s="19" t="str">
        <f>IF(Table1[[#This Row],[Hand-In-
Stock]]=Table1[[#This Row],[Opening 
Stock]]+Table1[[#This Row],[Purchase/
Stock in]]-Table1[[#This Row],[Number of 
Units Sold]],"Correct","Mismatch")</f>
        <v>Mismatch</v>
      </c>
    </row>
    <row r="21" spans="2:15">
      <c r="B21" s="5" t="s">
        <v>38</v>
      </c>
      <c r="C21" s="4" t="s">
        <v>39</v>
      </c>
      <c r="D21" s="4">
        <v>40</v>
      </c>
      <c r="E21" s="4">
        <v>20</v>
      </c>
      <c r="F21" s="4">
        <v>8</v>
      </c>
      <c r="G21" s="4">
        <v>52</v>
      </c>
      <c r="H21" s="4">
        <v>25</v>
      </c>
      <c r="I21" s="6">
        <v>1300</v>
      </c>
      <c r="J21" s="17" t="str">
        <f>IF(Table1[[#This Row],[Hand-In-
Stock]]&lt;20,"Low Stock","Normal Stock")</f>
        <v>Normal Stock</v>
      </c>
      <c r="K21" s="18">
        <f>Table1[[#This Row],[Number of 
Units Sold]]/(Table1[[#This Row],[Opening 
Stock]]+Table1[[#This Row],[Purchase/
Stock in]])</f>
        <v>0.13333333333333333</v>
      </c>
      <c r="L21" s="4" t="str">
        <f>IF(Table1[[#This Row],[Number of 
Units Sold]]=0,"No sales","Sold")</f>
        <v>Sold</v>
      </c>
      <c r="M21" s="19">
        <f>RANK(Table1[[#This Row],[Cost Price
Total (USD)]],Table1[Cost Price
Total (USD)],0)</f>
        <v>29</v>
      </c>
      <c r="N21" s="19" t="str">
        <f>IF(Table1[[#This Row],[Number of 
Units Sold]]&lt;AVERAGE(Table1[Hand-In-
Stock]),"Reorder now","Sufficient")</f>
        <v>Reorder now</v>
      </c>
      <c r="O21" s="19" t="str">
        <f>IF(Table1[[#This Row],[Hand-In-
Stock]]=Table1[[#This Row],[Opening 
Stock]]+Table1[[#This Row],[Purchase/
Stock in]]-Table1[[#This Row],[Number of 
Units Sold]],"Correct","Mismatch")</f>
        <v>Correct</v>
      </c>
    </row>
    <row r="22" spans="2:15">
      <c r="B22" s="5" t="s">
        <v>60</v>
      </c>
      <c r="C22" s="4" t="s">
        <v>61</v>
      </c>
      <c r="D22" s="4">
        <v>45</v>
      </c>
      <c r="E22" s="4">
        <v>20</v>
      </c>
      <c r="F22" s="4">
        <v>8</v>
      </c>
      <c r="G22" s="4">
        <v>57</v>
      </c>
      <c r="H22" s="4">
        <v>120</v>
      </c>
      <c r="I22" s="6">
        <v>6840</v>
      </c>
      <c r="J22" s="17" t="str">
        <f>IF(Table1[[#This Row],[Hand-In-
Stock]]&lt;20,"Low Stock","Normal Stock")</f>
        <v>Normal Stock</v>
      </c>
      <c r="K22" s="18">
        <f>Table1[[#This Row],[Number of 
Units Sold]]/(Table1[[#This Row],[Opening 
Stock]]+Table1[[#This Row],[Purchase/
Stock in]])</f>
        <v>0.12307692307692308</v>
      </c>
      <c r="L22" s="4" t="str">
        <f>IF(Table1[[#This Row],[Number of 
Units Sold]]=0,"No sales","Sold")</f>
        <v>Sold</v>
      </c>
      <c r="M22" s="19">
        <f>RANK(Table1[[#This Row],[Cost Price
Total (USD)]],Table1[Cost Price
Total (USD)],0)</f>
        <v>9</v>
      </c>
      <c r="N22" s="19" t="str">
        <f>IF(Table1[[#This Row],[Number of 
Units Sold]]&lt;AVERAGE(Table1[Hand-In-
Stock]),"Reorder now","Sufficient")</f>
        <v>Reorder now</v>
      </c>
      <c r="O22" s="19" t="str">
        <f>IF(Table1[[#This Row],[Hand-In-
Stock]]=Table1[[#This Row],[Opening 
Stock]]+Table1[[#This Row],[Purchase/
Stock in]]-Table1[[#This Row],[Number of 
Units Sold]],"Correct","Mismatch")</f>
        <v>Correct</v>
      </c>
    </row>
    <row r="23" spans="2:15">
      <c r="B23" s="5" t="s">
        <v>20</v>
      </c>
      <c r="C23" s="4" t="s">
        <v>21</v>
      </c>
      <c r="D23" s="4">
        <v>45</v>
      </c>
      <c r="E23" s="4">
        <v>18</v>
      </c>
      <c r="F23" s="4">
        <v>8</v>
      </c>
      <c r="G23" s="4">
        <v>55</v>
      </c>
      <c r="H23" s="4">
        <v>700</v>
      </c>
      <c r="I23" s="6">
        <v>38500</v>
      </c>
      <c r="J23" s="17" t="str">
        <f>IF(Table1[[#This Row],[Hand-In-
Stock]]&lt;20,"Low Stock","Normal Stock")</f>
        <v>Normal Stock</v>
      </c>
      <c r="K23" s="18">
        <f>Table1[[#This Row],[Number of 
Units Sold]]/(Table1[[#This Row],[Opening 
Stock]]+Table1[[#This Row],[Purchase/
Stock in]])</f>
        <v>0.12698412698412698</v>
      </c>
      <c r="L23" s="4" t="str">
        <f>IF(Table1[[#This Row],[Number of 
Units Sold]]=0,"No sales","Sold")</f>
        <v>Sold</v>
      </c>
      <c r="M23" s="19">
        <f>RANK(Table1[[#This Row],[Cost Price
Total (USD)]],Table1[Cost Price
Total (USD)],0)</f>
        <v>3</v>
      </c>
      <c r="N23" s="19" t="str">
        <f>IF(Table1[[#This Row],[Number of 
Units Sold]]&lt;AVERAGE(Table1[Hand-In-
Stock]),"Reorder now","Sufficient")</f>
        <v>Reorder now</v>
      </c>
      <c r="O23" s="19" t="str">
        <f>IF(Table1[[#This Row],[Hand-In-
Stock]]=Table1[[#This Row],[Opening 
Stock]]+Table1[[#This Row],[Purchase/
Stock in]]-Table1[[#This Row],[Number of 
Units Sold]],"Correct","Mismatch")</f>
        <v>Correct</v>
      </c>
    </row>
    <row r="24" spans="2:15">
      <c r="B24" s="5" t="s">
        <v>54</v>
      </c>
      <c r="C24" s="4" t="s">
        <v>55</v>
      </c>
      <c r="D24" s="4">
        <v>30</v>
      </c>
      <c r="E24" s="4">
        <v>15</v>
      </c>
      <c r="F24" s="4">
        <v>7</v>
      </c>
      <c r="G24" s="4">
        <v>38</v>
      </c>
      <c r="H24" s="4">
        <v>350</v>
      </c>
      <c r="I24" s="6">
        <v>13300</v>
      </c>
      <c r="J24" s="17" t="str">
        <f>IF(Table1[[#This Row],[Hand-In-
Stock]]&lt;20,"Low Stock","Normal Stock")</f>
        <v>Normal Stock</v>
      </c>
      <c r="K24" s="18">
        <f>Table1[[#This Row],[Number of 
Units Sold]]/(Table1[[#This Row],[Opening 
Stock]]+Table1[[#This Row],[Purchase/
Stock in]])</f>
        <v>0.15555555555555556</v>
      </c>
      <c r="L24" s="4" t="str">
        <f>IF(Table1[[#This Row],[Number of 
Units Sold]]=0,"No sales","Sold")</f>
        <v>Sold</v>
      </c>
      <c r="M24" s="19">
        <f>RANK(Table1[[#This Row],[Cost Price
Total (USD)]],Table1[Cost Price
Total (USD)],0)</f>
        <v>6</v>
      </c>
      <c r="N24" s="19" t="str">
        <f>IF(Table1[[#This Row],[Number of 
Units Sold]]&lt;AVERAGE(Table1[Hand-In-
Stock]),"Reorder now","Sufficient")</f>
        <v>Reorder now</v>
      </c>
      <c r="O24" s="19" t="str">
        <f>IF(Table1[[#This Row],[Hand-In-
Stock]]=Table1[[#This Row],[Opening 
Stock]]+Table1[[#This Row],[Purchase/
Stock in]]-Table1[[#This Row],[Number of 
Units Sold]],"Correct","Mismatch")</f>
        <v>Correct</v>
      </c>
    </row>
    <row r="25" spans="2:15">
      <c r="B25" s="5" t="s">
        <v>32</v>
      </c>
      <c r="C25" s="4" t="s">
        <v>33</v>
      </c>
      <c r="D25" s="4">
        <v>30</v>
      </c>
      <c r="E25" s="4">
        <v>15</v>
      </c>
      <c r="F25" s="4">
        <v>7</v>
      </c>
      <c r="G25" s="4">
        <v>38</v>
      </c>
      <c r="H25" s="4">
        <v>30</v>
      </c>
      <c r="I25" s="6">
        <v>1140</v>
      </c>
      <c r="J25" s="17" t="str">
        <f>IF(Table1[[#This Row],[Hand-In-
Stock]]&lt;20,"Low Stock","Normal Stock")</f>
        <v>Normal Stock</v>
      </c>
      <c r="K25" s="18">
        <f>Table1[[#This Row],[Number of 
Units Sold]]/(Table1[[#This Row],[Opening 
Stock]]+Table1[[#This Row],[Purchase/
Stock in]])</f>
        <v>0.15555555555555556</v>
      </c>
      <c r="L25" s="4" t="str">
        <f>IF(Table1[[#This Row],[Number of 
Units Sold]]=0,"No sales","Sold")</f>
        <v>Sold</v>
      </c>
      <c r="M25" s="19">
        <f>RANK(Table1[[#This Row],[Cost Price
Total (USD)]],Table1[Cost Price
Total (USD)],0)</f>
        <v>31</v>
      </c>
      <c r="N25" s="19" t="str">
        <f>IF(Table1[[#This Row],[Number of 
Units Sold]]&lt;AVERAGE(Table1[Hand-In-
Stock]),"Reorder now","Sufficient")</f>
        <v>Reorder now</v>
      </c>
      <c r="O25" s="19" t="str">
        <f>IF(Table1[[#This Row],[Hand-In-
Stock]]=Table1[[#This Row],[Opening 
Stock]]+Table1[[#This Row],[Purchase/
Stock in]]-Table1[[#This Row],[Number of 
Units Sold]],"Correct","Mismatch")</f>
        <v>Correct</v>
      </c>
    </row>
    <row r="26" spans="2:15">
      <c r="B26" s="5" t="s">
        <v>96</v>
      </c>
      <c r="C26" s="4" t="s">
        <v>97</v>
      </c>
      <c r="D26" s="4">
        <v>40</v>
      </c>
      <c r="E26" s="4">
        <v>18</v>
      </c>
      <c r="F26" s="4">
        <v>7</v>
      </c>
      <c r="G26" s="4">
        <v>51</v>
      </c>
      <c r="H26" s="4">
        <v>30</v>
      </c>
      <c r="I26" s="6">
        <v>1530</v>
      </c>
      <c r="J26" s="17" t="str">
        <f>IF(Table1[[#This Row],[Hand-In-
Stock]]&lt;20,"Low Stock","Normal Stock")</f>
        <v>Normal Stock</v>
      </c>
      <c r="K26" s="18">
        <f>Table1[[#This Row],[Number of 
Units Sold]]/(Table1[[#This Row],[Opening 
Stock]]+Table1[[#This Row],[Purchase/
Stock in]])</f>
        <v>0.1206896551724138</v>
      </c>
      <c r="L26" s="4" t="str">
        <f>IF(Table1[[#This Row],[Number of 
Units Sold]]=0,"No sales","Sold")</f>
        <v>Sold</v>
      </c>
      <c r="M26" s="19">
        <f>RANK(Table1[[#This Row],[Cost Price
Total (USD)]],Table1[Cost Price
Total (USD)],0)</f>
        <v>28</v>
      </c>
      <c r="N26" s="19" t="str">
        <f>IF(Table1[[#This Row],[Number of 
Units Sold]]&lt;AVERAGE(Table1[Hand-In-
Stock]),"Reorder now","Sufficient")</f>
        <v>Reorder now</v>
      </c>
      <c r="O26" s="19" t="str">
        <f>IF(Table1[[#This Row],[Hand-In-
Stock]]=Table1[[#This Row],[Opening 
Stock]]+Table1[[#This Row],[Purchase/
Stock in]]-Table1[[#This Row],[Number of 
Units Sold]],"Correct","Mismatch")</f>
        <v>Correct</v>
      </c>
    </row>
    <row r="27" spans="2:15">
      <c r="B27" s="5" t="s">
        <v>26</v>
      </c>
      <c r="C27" s="4" t="s">
        <v>27</v>
      </c>
      <c r="D27" s="4">
        <v>35</v>
      </c>
      <c r="E27" s="4">
        <v>15</v>
      </c>
      <c r="F27" s="4">
        <v>7</v>
      </c>
      <c r="G27" s="4">
        <v>43</v>
      </c>
      <c r="H27" s="4">
        <v>80</v>
      </c>
      <c r="I27" s="6">
        <v>3440</v>
      </c>
      <c r="J27" s="17" t="str">
        <f>IF(Table1[[#This Row],[Hand-In-
Stock]]&lt;20,"Low Stock","Normal Stock")</f>
        <v>Normal Stock</v>
      </c>
      <c r="K27" s="18">
        <f>Table1[[#This Row],[Number of 
Units Sold]]/(Table1[[#This Row],[Opening 
Stock]]+Table1[[#This Row],[Purchase/
Stock in]])</f>
        <v>0.14000000000000001</v>
      </c>
      <c r="L27" s="4" t="str">
        <f>IF(Table1[[#This Row],[Number of 
Units Sold]]=0,"No sales","Sold")</f>
        <v>Sold</v>
      </c>
      <c r="M27" s="19">
        <f>RANK(Table1[[#This Row],[Cost Price
Total (USD)]],Table1[Cost Price
Total (USD)],0)</f>
        <v>21</v>
      </c>
      <c r="N27" s="19" t="str">
        <f>IF(Table1[[#This Row],[Number of 
Units Sold]]&lt;AVERAGE(Table1[Hand-In-
Stock]),"Reorder now","Sufficient")</f>
        <v>Reorder now</v>
      </c>
      <c r="O27" s="19" t="str">
        <f>IF(Table1[[#This Row],[Hand-In-
Stock]]=Table1[[#This Row],[Opening 
Stock]]+Table1[[#This Row],[Purchase/
Stock in]]-Table1[[#This Row],[Number of 
Units Sold]],"Correct","Mismatch")</f>
        <v>Correct</v>
      </c>
    </row>
    <row r="28" spans="2:15">
      <c r="B28" s="5" t="s">
        <v>44</v>
      </c>
      <c r="C28" s="4" t="s">
        <v>45</v>
      </c>
      <c r="D28" s="4">
        <v>30</v>
      </c>
      <c r="E28" s="4">
        <v>12</v>
      </c>
      <c r="F28" s="4">
        <v>6</v>
      </c>
      <c r="G28" s="4">
        <v>36</v>
      </c>
      <c r="H28" s="4">
        <v>80</v>
      </c>
      <c r="I28" s="6">
        <v>2880</v>
      </c>
      <c r="J28" s="17" t="str">
        <f>IF(Table1[[#This Row],[Hand-In-
Stock]]&lt;20,"Low Stock","Normal Stock")</f>
        <v>Normal Stock</v>
      </c>
      <c r="K28" s="18">
        <f>Table1[[#This Row],[Number of 
Units Sold]]/(Table1[[#This Row],[Opening 
Stock]]+Table1[[#This Row],[Purchase/
Stock in]])</f>
        <v>0.14285714285714285</v>
      </c>
      <c r="L28" s="4" t="str">
        <f>IF(Table1[[#This Row],[Number of 
Units Sold]]=0,"No sales","Sold")</f>
        <v>Sold</v>
      </c>
      <c r="M28" s="19">
        <f>RANK(Table1[[#This Row],[Cost Price
Total (USD)]],Table1[Cost Price
Total (USD)],0)</f>
        <v>25</v>
      </c>
      <c r="N28" s="19" t="str">
        <f>IF(Table1[[#This Row],[Number of 
Units Sold]]&lt;AVERAGE(Table1[Hand-In-
Stock]),"Reorder now","Sufficient")</f>
        <v>Reorder now</v>
      </c>
      <c r="O28" s="19" t="str">
        <f>IF(Table1[[#This Row],[Hand-In-
Stock]]=Table1[[#This Row],[Opening 
Stock]]+Table1[[#This Row],[Purchase/
Stock in]]-Table1[[#This Row],[Number of 
Units Sold]],"Correct","Mismatch")</f>
        <v>Correct</v>
      </c>
    </row>
    <row r="29" spans="2:15">
      <c r="B29" s="5" t="s">
        <v>86</v>
      </c>
      <c r="C29" s="4" t="s">
        <v>87</v>
      </c>
      <c r="D29" s="4">
        <v>30</v>
      </c>
      <c r="E29" s="4">
        <v>15</v>
      </c>
      <c r="F29" s="4">
        <v>6</v>
      </c>
      <c r="G29" s="4">
        <v>39</v>
      </c>
      <c r="H29" s="4">
        <v>20</v>
      </c>
      <c r="I29" s="6">
        <v>780</v>
      </c>
      <c r="J29" s="17" t="str">
        <f>IF(Table1[[#This Row],[Hand-In-
Stock]]&lt;20,"Low Stock","Normal Stock")</f>
        <v>Normal Stock</v>
      </c>
      <c r="K29" s="18">
        <f>Table1[[#This Row],[Number of 
Units Sold]]/(Table1[[#This Row],[Opening 
Stock]]+Table1[[#This Row],[Purchase/
Stock in]])</f>
        <v>0.13333333333333333</v>
      </c>
      <c r="L29" s="4" t="str">
        <f>IF(Table1[[#This Row],[Number of 
Units Sold]]=0,"No sales","Sold")</f>
        <v>Sold</v>
      </c>
      <c r="M29" s="19">
        <f>RANK(Table1[[#This Row],[Cost Price
Total (USD)]],Table1[Cost Price
Total (USD)],0)</f>
        <v>34</v>
      </c>
      <c r="N29" s="19" t="str">
        <f>IF(Table1[[#This Row],[Number of 
Units Sold]]&lt;AVERAGE(Table1[Hand-In-
Stock]),"Reorder now","Sufficient")</f>
        <v>Reorder now</v>
      </c>
      <c r="O29" s="19" t="str">
        <f>IF(Table1[[#This Row],[Hand-In-
Stock]]=Table1[[#This Row],[Opening 
Stock]]+Table1[[#This Row],[Purchase/
Stock in]]-Table1[[#This Row],[Number of 
Units Sold]],"Correct","Mismatch")</f>
        <v>Correct</v>
      </c>
    </row>
    <row r="30" spans="2:15">
      <c r="B30" s="5" t="s">
        <v>64</v>
      </c>
      <c r="C30" s="4" t="s">
        <v>65</v>
      </c>
      <c r="D30" s="4">
        <v>35</v>
      </c>
      <c r="E30" s="4">
        <v>15</v>
      </c>
      <c r="F30" s="4">
        <v>6</v>
      </c>
      <c r="G30" s="4">
        <v>44</v>
      </c>
      <c r="H30" s="4">
        <v>100</v>
      </c>
      <c r="I30" s="6">
        <v>4400</v>
      </c>
      <c r="J30" s="17" t="str">
        <f>IF(Table1[[#This Row],[Hand-In-
Stock]]&lt;20,"Low Stock","Normal Stock")</f>
        <v>Normal Stock</v>
      </c>
      <c r="K30" s="18">
        <f>Table1[[#This Row],[Number of 
Units Sold]]/(Table1[[#This Row],[Opening 
Stock]]+Table1[[#This Row],[Purchase/
Stock in]])</f>
        <v>0.12</v>
      </c>
      <c r="L30" s="4" t="str">
        <f>IF(Table1[[#This Row],[Number of 
Units Sold]]=0,"No sales","Sold")</f>
        <v>Sold</v>
      </c>
      <c r="M30" s="19">
        <f>RANK(Table1[[#This Row],[Cost Price
Total (USD)]],Table1[Cost Price
Total (USD)],0)</f>
        <v>13</v>
      </c>
      <c r="N30" s="19" t="str">
        <f>IF(Table1[[#This Row],[Number of 
Units Sold]]&lt;AVERAGE(Table1[Hand-In-
Stock]),"Reorder now","Sufficient")</f>
        <v>Reorder now</v>
      </c>
      <c r="O30" s="19" t="str">
        <f>IF(Table1[[#This Row],[Hand-In-
Stock]]=Table1[[#This Row],[Opening 
Stock]]+Table1[[#This Row],[Purchase/
Stock in]]-Table1[[#This Row],[Number of 
Units Sold]],"Correct","Mismatch")</f>
        <v>Correct</v>
      </c>
    </row>
    <row r="31" spans="2:15">
      <c r="B31" s="5" t="s">
        <v>24</v>
      </c>
      <c r="C31" s="4" t="s">
        <v>25</v>
      </c>
      <c r="D31" s="4">
        <v>25</v>
      </c>
      <c r="E31" s="4">
        <v>12</v>
      </c>
      <c r="F31" s="4">
        <v>5</v>
      </c>
      <c r="G31" s="4">
        <v>32</v>
      </c>
      <c r="H31" s="4">
        <v>200</v>
      </c>
      <c r="I31" s="6">
        <v>6400</v>
      </c>
      <c r="J31" s="17" t="str">
        <f>IF(Table1[[#This Row],[Hand-In-
Stock]]&lt;20,"Low Stock","Normal Stock")</f>
        <v>Normal Stock</v>
      </c>
      <c r="K31" s="18">
        <f>Table1[[#This Row],[Number of 
Units Sold]]/(Table1[[#This Row],[Opening 
Stock]]+Table1[[#This Row],[Purchase/
Stock in]])</f>
        <v>0.13513513513513514</v>
      </c>
      <c r="L31" s="4" t="str">
        <f>IF(Table1[[#This Row],[Number of 
Units Sold]]=0,"No sales","Sold")</f>
        <v>Sold</v>
      </c>
      <c r="M31" s="19">
        <f>RANK(Table1[[#This Row],[Cost Price
Total (USD)]],Table1[Cost Price
Total (USD)],0)</f>
        <v>10</v>
      </c>
      <c r="N31" s="19" t="str">
        <f>IF(Table1[[#This Row],[Number of 
Units Sold]]&lt;AVERAGE(Table1[Hand-In-
Stock]),"Reorder now","Sufficient")</f>
        <v>Reorder now</v>
      </c>
      <c r="O31" s="19" t="str">
        <f>IF(Table1[[#This Row],[Hand-In-
Stock]]=Table1[[#This Row],[Opening 
Stock]]+Table1[[#This Row],[Purchase/
Stock in]]-Table1[[#This Row],[Number of 
Units Sold]],"Correct","Mismatch")</f>
        <v>Correct</v>
      </c>
    </row>
    <row r="32" spans="2:15">
      <c r="B32" s="5" t="s">
        <v>94</v>
      </c>
      <c r="C32" s="4" t="s">
        <v>95</v>
      </c>
      <c r="D32" s="4">
        <v>30</v>
      </c>
      <c r="E32" s="4">
        <v>12</v>
      </c>
      <c r="F32" s="4">
        <v>5</v>
      </c>
      <c r="G32" s="4">
        <v>37</v>
      </c>
      <c r="H32" s="4">
        <v>20</v>
      </c>
      <c r="I32" s="6">
        <v>740</v>
      </c>
      <c r="J32" s="17" t="str">
        <f>IF(Table1[[#This Row],[Hand-In-
Stock]]&lt;20,"Low Stock","Normal Stock")</f>
        <v>Normal Stock</v>
      </c>
      <c r="K32" s="18">
        <f>Table1[[#This Row],[Number of 
Units Sold]]/(Table1[[#This Row],[Opening 
Stock]]+Table1[[#This Row],[Purchase/
Stock in]])</f>
        <v>0.11904761904761904</v>
      </c>
      <c r="L32" s="4" t="str">
        <f>IF(Table1[[#This Row],[Number of 
Units Sold]]=0,"No sales","Sold")</f>
        <v>Sold</v>
      </c>
      <c r="M32" s="19">
        <f>RANK(Table1[[#This Row],[Cost Price
Total (USD)]],Table1[Cost Price
Total (USD)],0)</f>
        <v>36</v>
      </c>
      <c r="N32" s="19" t="str">
        <f>IF(Table1[[#This Row],[Number of 
Units Sold]]&lt;AVERAGE(Table1[Hand-In-
Stock]),"Reorder now","Sufficient")</f>
        <v>Reorder now</v>
      </c>
      <c r="O32" s="19" t="str">
        <f>IF(Table1[[#This Row],[Hand-In-
Stock]]=Table1[[#This Row],[Opening 
Stock]]+Table1[[#This Row],[Purchase/
Stock in]]-Table1[[#This Row],[Number of 
Units Sold]],"Correct","Mismatch")</f>
        <v>Correct</v>
      </c>
    </row>
    <row r="33" spans="2:15">
      <c r="B33" s="5" t="s">
        <v>12</v>
      </c>
      <c r="C33" s="4" t="s">
        <v>13</v>
      </c>
      <c r="D33" s="4">
        <v>40</v>
      </c>
      <c r="E33" s="4">
        <v>15</v>
      </c>
      <c r="F33" s="4">
        <v>5</v>
      </c>
      <c r="G33" s="4">
        <v>50</v>
      </c>
      <c r="H33" s="4">
        <v>500</v>
      </c>
      <c r="I33" s="6">
        <v>25000</v>
      </c>
      <c r="J33" s="17" t="str">
        <f>IF(Table1[[#This Row],[Hand-In-
Stock]]&lt;20,"Low Stock","Normal Stock")</f>
        <v>Normal Stock</v>
      </c>
      <c r="K33" s="18">
        <f>Table1[[#This Row],[Number of 
Units Sold]]/(Table1[[#This Row],[Opening 
Stock]]+Table1[[#This Row],[Purchase/
Stock in]])</f>
        <v>9.0909090909090912E-2</v>
      </c>
      <c r="L33" s="4" t="str">
        <f>IF(Table1[[#This Row],[Number of 
Units Sold]]=0,"No sales","Sold")</f>
        <v>Sold</v>
      </c>
      <c r="M33" s="19">
        <f>RANK(Table1[[#This Row],[Cost Price
Total (USD)]],Table1[Cost Price
Total (USD)],0)</f>
        <v>5</v>
      </c>
      <c r="N33" s="19" t="str">
        <f>IF(Table1[[#This Row],[Number of 
Units Sold]]&lt;AVERAGE(Table1[Hand-In-
Stock]),"Reorder now","Sufficient")</f>
        <v>Reorder now</v>
      </c>
      <c r="O33" s="19" t="str">
        <f>IF(Table1[[#This Row],[Hand-In-
Stock]]=Table1[[#This Row],[Opening 
Stock]]+Table1[[#This Row],[Purchase/
Stock in]]-Table1[[#This Row],[Number of 
Units Sold]],"Correct","Mismatch")</f>
        <v>Correct</v>
      </c>
    </row>
    <row r="34" spans="2:15">
      <c r="B34" s="5" t="s">
        <v>56</v>
      </c>
      <c r="C34" s="4" t="s">
        <v>57</v>
      </c>
      <c r="D34" s="4">
        <v>25</v>
      </c>
      <c r="E34" s="4">
        <v>12</v>
      </c>
      <c r="F34" s="4">
        <v>5</v>
      </c>
      <c r="G34" s="4">
        <v>32</v>
      </c>
      <c r="H34" s="4">
        <v>200</v>
      </c>
      <c r="I34" s="6">
        <v>6400</v>
      </c>
      <c r="J34" s="17" t="str">
        <f>IF(Table1[[#This Row],[Hand-In-
Stock]]&lt;20,"Low Stock","Normal Stock")</f>
        <v>Normal Stock</v>
      </c>
      <c r="K34" s="18">
        <f>Table1[[#This Row],[Number of 
Units Sold]]/(Table1[[#This Row],[Opening 
Stock]]+Table1[[#This Row],[Purchase/
Stock in]])</f>
        <v>0.13513513513513514</v>
      </c>
      <c r="L34" s="4" t="str">
        <f>IF(Table1[[#This Row],[Number of 
Units Sold]]=0,"No sales","Sold")</f>
        <v>Sold</v>
      </c>
      <c r="M34" s="19">
        <f>RANK(Table1[[#This Row],[Cost Price
Total (USD)]],Table1[Cost Price
Total (USD)],0)</f>
        <v>10</v>
      </c>
      <c r="N34" s="19" t="str">
        <f>IF(Table1[[#This Row],[Number of 
Units Sold]]&lt;AVERAGE(Table1[Hand-In-
Stock]),"Reorder now","Sufficient")</f>
        <v>Reorder now</v>
      </c>
      <c r="O34" s="19" t="str">
        <f>IF(Table1[[#This Row],[Hand-In-
Stock]]=Table1[[#This Row],[Opening 
Stock]]+Table1[[#This Row],[Purchase/
Stock in]]-Table1[[#This Row],[Number of 
Units Sold]],"Correct","Mismatch")</f>
        <v>Correct</v>
      </c>
    </row>
    <row r="35" spans="2:15">
      <c r="B35" s="5" t="s">
        <v>74</v>
      </c>
      <c r="C35" s="4" t="s">
        <v>75</v>
      </c>
      <c r="D35" s="4">
        <v>40</v>
      </c>
      <c r="E35" s="4">
        <v>15</v>
      </c>
      <c r="F35" s="4">
        <v>5</v>
      </c>
      <c r="G35" s="4">
        <v>50</v>
      </c>
      <c r="H35" s="4">
        <v>5</v>
      </c>
      <c r="I35" s="6">
        <v>250</v>
      </c>
      <c r="J35" s="17" t="str">
        <f>IF(Table1[[#This Row],[Hand-In-
Stock]]&lt;20,"Low Stock","Normal Stock")</f>
        <v>Normal Stock</v>
      </c>
      <c r="K35" s="18">
        <f>Table1[[#This Row],[Number of 
Units Sold]]/(Table1[[#This Row],[Opening 
Stock]]+Table1[[#This Row],[Purchase/
Stock in]])</f>
        <v>9.0909090909090912E-2</v>
      </c>
      <c r="L35" s="4" t="str">
        <f>IF(Table1[[#This Row],[Number of 
Units Sold]]=0,"No sales","Sold")</f>
        <v>Sold</v>
      </c>
      <c r="M35" s="19">
        <f>RANK(Table1[[#This Row],[Cost Price
Total (USD)]],Table1[Cost Price
Total (USD)],0)</f>
        <v>45</v>
      </c>
      <c r="N35" s="19" t="str">
        <f>IF(Table1[[#This Row],[Number of 
Units Sold]]&lt;AVERAGE(Table1[Hand-In-
Stock]),"Reorder now","Sufficient")</f>
        <v>Reorder now</v>
      </c>
      <c r="O35" s="19" t="str">
        <f>IF(Table1[[#This Row],[Hand-In-
Stock]]=Table1[[#This Row],[Opening 
Stock]]+Table1[[#This Row],[Purchase/
Stock in]]-Table1[[#This Row],[Number of 
Units Sold]],"Correct","Mismatch")</f>
        <v>Correct</v>
      </c>
    </row>
    <row r="36" spans="2:15">
      <c r="B36" s="5" t="s">
        <v>40</v>
      </c>
      <c r="C36" s="4" t="s">
        <v>41</v>
      </c>
      <c r="D36" s="4">
        <v>35</v>
      </c>
      <c r="E36" s="4">
        <v>15</v>
      </c>
      <c r="F36" s="4">
        <v>5</v>
      </c>
      <c r="G36" s="4">
        <v>45</v>
      </c>
      <c r="H36" s="4">
        <v>40</v>
      </c>
      <c r="I36" s="6">
        <v>1800</v>
      </c>
      <c r="J36" s="17" t="str">
        <f>IF(Table1[[#This Row],[Hand-In-
Stock]]&lt;20,"Low Stock","Normal Stock")</f>
        <v>Normal Stock</v>
      </c>
      <c r="K36" s="18">
        <f>Table1[[#This Row],[Number of 
Units Sold]]/(Table1[[#This Row],[Opening 
Stock]]+Table1[[#This Row],[Purchase/
Stock in]])</f>
        <v>0.1</v>
      </c>
      <c r="L36" s="4" t="str">
        <f>IF(Table1[[#This Row],[Number of 
Units Sold]]=0,"No sales","Sold")</f>
        <v>Sold</v>
      </c>
      <c r="M36" s="19">
        <f>RANK(Table1[[#This Row],[Cost Price
Total (USD)]],Table1[Cost Price
Total (USD)],0)</f>
        <v>26</v>
      </c>
      <c r="N36" s="19" t="str">
        <f>IF(Table1[[#This Row],[Number of 
Units Sold]]&lt;AVERAGE(Table1[Hand-In-
Stock]),"Reorder now","Sufficient")</f>
        <v>Reorder now</v>
      </c>
      <c r="O36" s="19" t="str">
        <f>IF(Table1[[#This Row],[Hand-In-
Stock]]=Table1[[#This Row],[Opening 
Stock]]+Table1[[#This Row],[Purchase/
Stock in]]-Table1[[#This Row],[Number of 
Units Sold]],"Correct","Mismatch")</f>
        <v>Correct</v>
      </c>
    </row>
    <row r="37" spans="2:15">
      <c r="B37" s="5" t="s">
        <v>76</v>
      </c>
      <c r="C37" s="4" t="s">
        <v>77</v>
      </c>
      <c r="D37" s="4">
        <v>30</v>
      </c>
      <c r="E37" s="4">
        <v>12</v>
      </c>
      <c r="F37" s="4">
        <v>4</v>
      </c>
      <c r="G37" s="4">
        <v>34</v>
      </c>
      <c r="H37" s="4">
        <v>15</v>
      </c>
      <c r="I37" s="6">
        <v>510</v>
      </c>
      <c r="J37" s="17" t="str">
        <f>IF(Table1[[#This Row],[Hand-In-
Stock]]&lt;20,"Low Stock","Normal Stock")</f>
        <v>Normal Stock</v>
      </c>
      <c r="K37" s="18">
        <f>Table1[[#This Row],[Number of 
Units Sold]]/(Table1[[#This Row],[Opening 
Stock]]+Table1[[#This Row],[Purchase/
Stock in]])</f>
        <v>9.5238095238095233E-2</v>
      </c>
      <c r="L37" s="4" t="str">
        <f>IF(Table1[[#This Row],[Number of 
Units Sold]]=0,"No sales","Sold")</f>
        <v>Sold</v>
      </c>
      <c r="M37" s="19">
        <f>RANK(Table1[[#This Row],[Cost Price
Total (USD)]],Table1[Cost Price
Total (USD)],0)</f>
        <v>38</v>
      </c>
      <c r="N37" s="19" t="str">
        <f>IF(Table1[[#This Row],[Number of 
Units Sold]]&lt;AVERAGE(Table1[Hand-In-
Stock]),"Reorder now","Sufficient")</f>
        <v>Reorder now</v>
      </c>
      <c r="O37" s="19" t="str">
        <f>IF(Table1[[#This Row],[Hand-In-
Stock]]=Table1[[#This Row],[Opening 
Stock]]+Table1[[#This Row],[Purchase/
Stock in]]-Table1[[#This Row],[Number of 
Units Sold]],"Correct","Mismatch")</f>
        <v>Mismatch</v>
      </c>
    </row>
    <row r="38" spans="2:15">
      <c r="B38" s="5" t="s">
        <v>68</v>
      </c>
      <c r="C38" s="4" t="s">
        <v>69</v>
      </c>
      <c r="D38" s="4">
        <v>30</v>
      </c>
      <c r="E38" s="4">
        <v>12</v>
      </c>
      <c r="F38" s="4">
        <v>4</v>
      </c>
      <c r="G38" s="4">
        <v>34</v>
      </c>
      <c r="H38" s="4">
        <v>50</v>
      </c>
      <c r="I38" s="6">
        <v>1700</v>
      </c>
      <c r="J38" s="17" t="str">
        <f>IF(Table1[[#This Row],[Hand-In-
Stock]]&lt;20,"Low Stock","Normal Stock")</f>
        <v>Normal Stock</v>
      </c>
      <c r="K38" s="18">
        <f>Table1[[#This Row],[Number of 
Units Sold]]/(Table1[[#This Row],[Opening 
Stock]]+Table1[[#This Row],[Purchase/
Stock in]])</f>
        <v>9.5238095238095233E-2</v>
      </c>
      <c r="L38" s="4" t="str">
        <f>IF(Table1[[#This Row],[Number of 
Units Sold]]=0,"No sales","Sold")</f>
        <v>Sold</v>
      </c>
      <c r="M38" s="19">
        <f>RANK(Table1[[#This Row],[Cost Price
Total (USD)]],Table1[Cost Price
Total (USD)],0)</f>
        <v>27</v>
      </c>
      <c r="N38" s="19" t="str">
        <f>IF(Table1[[#This Row],[Number of 
Units Sold]]&lt;AVERAGE(Table1[Hand-In-
Stock]),"Reorder now","Sufficient")</f>
        <v>Reorder now</v>
      </c>
      <c r="O38" s="19" t="str">
        <f>IF(Table1[[#This Row],[Hand-In-
Stock]]=Table1[[#This Row],[Opening 
Stock]]+Table1[[#This Row],[Purchase/
Stock in]]-Table1[[#This Row],[Number of 
Units Sold]],"Correct","Mismatch")</f>
        <v>Mismatch</v>
      </c>
    </row>
    <row r="39" spans="2:15">
      <c r="B39" s="5" t="s">
        <v>42</v>
      </c>
      <c r="C39" s="4" t="s">
        <v>43</v>
      </c>
      <c r="D39" s="4">
        <v>25</v>
      </c>
      <c r="E39" s="4">
        <v>10</v>
      </c>
      <c r="F39" s="4">
        <v>4</v>
      </c>
      <c r="G39" s="4">
        <v>31</v>
      </c>
      <c r="H39" s="4">
        <v>100</v>
      </c>
      <c r="I39" s="6">
        <v>3100</v>
      </c>
      <c r="J39" s="17" t="str">
        <f>IF(Table1[[#This Row],[Hand-In-
Stock]]&lt;20,"Low Stock","Normal Stock")</f>
        <v>Normal Stock</v>
      </c>
      <c r="K39" s="18">
        <f>Table1[[#This Row],[Number of 
Units Sold]]/(Table1[[#This Row],[Opening 
Stock]]+Table1[[#This Row],[Purchase/
Stock in]])</f>
        <v>0.11428571428571428</v>
      </c>
      <c r="L39" s="4" t="str">
        <f>IF(Table1[[#This Row],[Number of 
Units Sold]]=0,"No sales","Sold")</f>
        <v>Sold</v>
      </c>
      <c r="M39" s="19">
        <f>RANK(Table1[[#This Row],[Cost Price
Total (USD)]],Table1[Cost Price
Total (USD)],0)</f>
        <v>22</v>
      </c>
      <c r="N39" s="19" t="str">
        <f>IF(Table1[[#This Row],[Number of 
Units Sold]]&lt;AVERAGE(Table1[Hand-In-
Stock]),"Reorder now","Sufficient")</f>
        <v>Reorder now</v>
      </c>
      <c r="O39" s="19" t="str">
        <f>IF(Table1[[#This Row],[Hand-In-
Stock]]=Table1[[#This Row],[Opening 
Stock]]+Table1[[#This Row],[Purchase/
Stock in]]-Table1[[#This Row],[Number of 
Units Sold]],"Correct","Mismatch")</f>
        <v>Correct</v>
      </c>
    </row>
    <row r="40" spans="2:15">
      <c r="B40" s="5" t="s">
        <v>50</v>
      </c>
      <c r="C40" s="4" t="s">
        <v>51</v>
      </c>
      <c r="D40" s="4">
        <v>25</v>
      </c>
      <c r="E40" s="4">
        <v>10</v>
      </c>
      <c r="F40" s="4">
        <v>4</v>
      </c>
      <c r="G40" s="4">
        <v>29</v>
      </c>
      <c r="H40" s="4">
        <v>400</v>
      </c>
      <c r="I40" s="6">
        <v>11600</v>
      </c>
      <c r="J40" s="17" t="str">
        <f>IF(Table1[[#This Row],[Hand-In-
Stock]]&lt;20,"Low Stock","Normal Stock")</f>
        <v>Normal Stock</v>
      </c>
      <c r="K40" s="18">
        <f>Table1[[#This Row],[Number of 
Units Sold]]/(Table1[[#This Row],[Opening 
Stock]]+Table1[[#This Row],[Purchase/
Stock in]])</f>
        <v>0.11428571428571428</v>
      </c>
      <c r="L40" s="4" t="str">
        <f>IF(Table1[[#This Row],[Number of 
Units Sold]]=0,"No sales","Sold")</f>
        <v>Sold</v>
      </c>
      <c r="M40" s="19">
        <f>RANK(Table1[[#This Row],[Cost Price
Total (USD)]],Table1[Cost Price
Total (USD)],0)</f>
        <v>7</v>
      </c>
      <c r="N40" s="19" t="str">
        <f>IF(Table1[[#This Row],[Number of 
Units Sold]]&lt;AVERAGE(Table1[Hand-In-
Stock]),"Reorder now","Sufficient")</f>
        <v>Reorder now</v>
      </c>
      <c r="O40" s="19" t="str">
        <f>IF(Table1[[#This Row],[Hand-In-
Stock]]=Table1[[#This Row],[Opening 
Stock]]+Table1[[#This Row],[Purchase/
Stock in]]-Table1[[#This Row],[Number of 
Units Sold]],"Correct","Mismatch")</f>
        <v>Mismatch</v>
      </c>
    </row>
    <row r="41" spans="2:15">
      <c r="B41" s="5" t="s">
        <v>82</v>
      </c>
      <c r="C41" s="4" t="s">
        <v>83</v>
      </c>
      <c r="D41" s="4">
        <v>25</v>
      </c>
      <c r="E41" s="4">
        <v>10</v>
      </c>
      <c r="F41" s="4">
        <v>4</v>
      </c>
      <c r="G41" s="4">
        <v>29</v>
      </c>
      <c r="H41" s="4">
        <v>5</v>
      </c>
      <c r="I41" s="6">
        <v>145</v>
      </c>
      <c r="J41" s="17" t="str">
        <f>IF(Table1[[#This Row],[Hand-In-
Stock]]&lt;20,"Low Stock","Normal Stock")</f>
        <v>Normal Stock</v>
      </c>
      <c r="K41" s="18">
        <f>Table1[[#This Row],[Number of 
Units Sold]]/(Table1[[#This Row],[Opening 
Stock]]+Table1[[#This Row],[Purchase/
Stock in]])</f>
        <v>0.11428571428571428</v>
      </c>
      <c r="L41" s="4" t="str">
        <f>IF(Table1[[#This Row],[Number of 
Units Sold]]=0,"No sales","Sold")</f>
        <v>Sold</v>
      </c>
      <c r="M41" s="19">
        <f>RANK(Table1[[#This Row],[Cost Price
Total (USD)]],Table1[Cost Price
Total (USD)],0)</f>
        <v>46</v>
      </c>
      <c r="N41" s="19" t="str">
        <f>IF(Table1[[#This Row],[Number of 
Units Sold]]&lt;AVERAGE(Table1[Hand-In-
Stock]),"Reorder now","Sufficient")</f>
        <v>Reorder now</v>
      </c>
      <c r="O41" s="19" t="str">
        <f>IF(Table1[[#This Row],[Hand-In-
Stock]]=Table1[[#This Row],[Opening 
Stock]]+Table1[[#This Row],[Purchase/
Stock in]]-Table1[[#This Row],[Number of 
Units Sold]],"Correct","Mismatch")</f>
        <v>Mismatch</v>
      </c>
    </row>
    <row r="42" spans="2:15">
      <c r="B42" s="5" t="s">
        <v>88</v>
      </c>
      <c r="C42" s="4" t="s">
        <v>89</v>
      </c>
      <c r="D42" s="4">
        <v>35</v>
      </c>
      <c r="E42" s="4">
        <v>12</v>
      </c>
      <c r="F42" s="4">
        <v>4</v>
      </c>
      <c r="G42" s="4">
        <v>31</v>
      </c>
      <c r="H42" s="4">
        <v>15</v>
      </c>
      <c r="I42" s="6">
        <v>465</v>
      </c>
      <c r="J42" s="17" t="str">
        <f>IF(Table1[[#This Row],[Hand-In-
Stock]]&lt;20,"Low Stock","Normal Stock")</f>
        <v>Normal Stock</v>
      </c>
      <c r="K42" s="18">
        <f>Table1[[#This Row],[Number of 
Units Sold]]/(Table1[[#This Row],[Opening 
Stock]]+Table1[[#This Row],[Purchase/
Stock in]])</f>
        <v>8.5106382978723402E-2</v>
      </c>
      <c r="L42" s="4" t="str">
        <f>IF(Table1[[#This Row],[Number of 
Units Sold]]=0,"No sales","Sold")</f>
        <v>Sold</v>
      </c>
      <c r="M42" s="19">
        <f>RANK(Table1[[#This Row],[Cost Price
Total (USD)]],Table1[Cost Price
Total (USD)],0)</f>
        <v>40</v>
      </c>
      <c r="N42" s="19" t="str">
        <f>IF(Table1[[#This Row],[Number of 
Units Sold]]&lt;AVERAGE(Table1[Hand-In-
Stock]),"Reorder now","Sufficient")</f>
        <v>Reorder now</v>
      </c>
      <c r="O42" s="19" t="str">
        <f>IF(Table1[[#This Row],[Hand-In-
Stock]]=Table1[[#This Row],[Opening 
Stock]]+Table1[[#This Row],[Purchase/
Stock in]]-Table1[[#This Row],[Number of 
Units Sold]],"Correct","Mismatch")</f>
        <v>Mismatch</v>
      </c>
    </row>
    <row r="43" spans="2:15">
      <c r="B43" s="5" t="s">
        <v>92</v>
      </c>
      <c r="C43" s="4" t="s">
        <v>93</v>
      </c>
      <c r="D43" s="4">
        <v>20</v>
      </c>
      <c r="E43" s="4">
        <v>10</v>
      </c>
      <c r="F43" s="4">
        <v>4</v>
      </c>
      <c r="G43" s="4">
        <v>24</v>
      </c>
      <c r="H43" s="4">
        <v>15</v>
      </c>
      <c r="I43" s="6">
        <v>360</v>
      </c>
      <c r="J43" s="17" t="str">
        <f>IF(Table1[[#This Row],[Hand-In-
Stock]]&lt;20,"Low Stock","Normal Stock")</f>
        <v>Normal Stock</v>
      </c>
      <c r="K43" s="18">
        <f>Table1[[#This Row],[Number of 
Units Sold]]/(Table1[[#This Row],[Opening 
Stock]]+Table1[[#This Row],[Purchase/
Stock in]])</f>
        <v>0.13333333333333333</v>
      </c>
      <c r="L43" s="4" t="str">
        <f>IF(Table1[[#This Row],[Number of 
Units Sold]]=0,"No sales","Sold")</f>
        <v>Sold</v>
      </c>
      <c r="M43" s="19">
        <f>RANK(Table1[[#This Row],[Cost Price
Total (USD)]],Table1[Cost Price
Total (USD)],0)</f>
        <v>43</v>
      </c>
      <c r="N43" s="19" t="str">
        <f>IF(Table1[[#This Row],[Number of 
Units Sold]]&lt;AVERAGE(Table1[Hand-In-
Stock]),"Reorder now","Sufficient")</f>
        <v>Reorder now</v>
      </c>
      <c r="O43" s="19" t="str">
        <f>IF(Table1[[#This Row],[Hand-In-
Stock]]=Table1[[#This Row],[Opening 
Stock]]+Table1[[#This Row],[Purchase/
Stock in]]-Table1[[#This Row],[Number of 
Units Sold]],"Correct","Mismatch")</f>
        <v>Mismatch</v>
      </c>
    </row>
    <row r="44" spans="2:15">
      <c r="B44" s="5" t="s">
        <v>90</v>
      </c>
      <c r="C44" s="4" t="s">
        <v>91</v>
      </c>
      <c r="D44" s="4">
        <v>25</v>
      </c>
      <c r="E44" s="4">
        <v>8</v>
      </c>
      <c r="F44" s="4">
        <v>3</v>
      </c>
      <c r="G44" s="4">
        <v>28</v>
      </c>
      <c r="H44" s="4">
        <v>10</v>
      </c>
      <c r="I44" s="6">
        <v>280</v>
      </c>
      <c r="J44" s="17" t="str">
        <f>IF(Table1[[#This Row],[Hand-In-
Stock]]&lt;20,"Low Stock","Normal Stock")</f>
        <v>Normal Stock</v>
      </c>
      <c r="K44" s="18">
        <f>Table1[[#This Row],[Number of 
Units Sold]]/(Table1[[#This Row],[Opening 
Stock]]+Table1[[#This Row],[Purchase/
Stock in]])</f>
        <v>9.0909090909090912E-2</v>
      </c>
      <c r="L44" s="4" t="str">
        <f>IF(Table1[[#This Row],[Number of 
Units Sold]]=0,"No sales","Sold")</f>
        <v>Sold</v>
      </c>
      <c r="M44" s="19">
        <f>RANK(Table1[[#This Row],[Cost Price
Total (USD)]],Table1[Cost Price
Total (USD)],0)</f>
        <v>44</v>
      </c>
      <c r="N44" s="19" t="str">
        <f>IF(Table1[[#This Row],[Number of 
Units Sold]]&lt;AVERAGE(Table1[Hand-In-
Stock]),"Reorder now","Sufficient")</f>
        <v>Reorder now</v>
      </c>
      <c r="O44" s="19" t="str">
        <f>IF(Table1[[#This Row],[Hand-In-
Stock]]=Table1[[#This Row],[Opening 
Stock]]+Table1[[#This Row],[Purchase/
Stock in]]-Table1[[#This Row],[Number of 
Units Sold]],"Correct","Mismatch")</f>
        <v>Mismatch</v>
      </c>
    </row>
    <row r="45" spans="2:15">
      <c r="B45" s="5" t="s">
        <v>30</v>
      </c>
      <c r="C45" s="4" t="s">
        <v>31</v>
      </c>
      <c r="D45" s="4">
        <v>20</v>
      </c>
      <c r="E45" s="4">
        <v>8</v>
      </c>
      <c r="F45" s="4">
        <v>3</v>
      </c>
      <c r="G45" s="4">
        <v>25</v>
      </c>
      <c r="H45" s="4">
        <v>150</v>
      </c>
      <c r="I45" s="6">
        <v>3750</v>
      </c>
      <c r="J45" s="17" t="str">
        <f>IF(Table1[[#This Row],[Hand-In-
Stock]]&lt;20,"Low Stock","Normal Stock")</f>
        <v>Normal Stock</v>
      </c>
      <c r="K45" s="18">
        <f>Table1[[#This Row],[Number of 
Units Sold]]/(Table1[[#This Row],[Opening 
Stock]]+Table1[[#This Row],[Purchase/
Stock in]])</f>
        <v>0.10714285714285714</v>
      </c>
      <c r="L45" s="4" t="str">
        <f>IF(Table1[[#This Row],[Number of 
Units Sold]]=0,"No sales","Sold")</f>
        <v>Sold</v>
      </c>
      <c r="M45" s="19">
        <f>RANK(Table1[[#This Row],[Cost Price
Total (USD)]],Table1[Cost Price
Total (USD)],0)</f>
        <v>18</v>
      </c>
      <c r="N45" s="19" t="str">
        <f>IF(Table1[[#This Row],[Number of 
Units Sold]]&lt;AVERAGE(Table1[Hand-In-
Stock]),"Reorder now","Sufficient")</f>
        <v>Reorder now</v>
      </c>
      <c r="O45" s="19" t="str">
        <f>IF(Table1[[#This Row],[Hand-In-
Stock]]=Table1[[#This Row],[Opening 
Stock]]+Table1[[#This Row],[Purchase/
Stock in]]-Table1[[#This Row],[Number of 
Units Sold]],"Correct","Mismatch")</f>
        <v>Correct</v>
      </c>
    </row>
    <row r="46" spans="2:15">
      <c r="B46" s="5" t="s">
        <v>100</v>
      </c>
      <c r="C46" s="4" t="s">
        <v>101</v>
      </c>
      <c r="D46" s="4">
        <v>25</v>
      </c>
      <c r="E46" s="4">
        <v>10</v>
      </c>
      <c r="F46" s="4">
        <v>3</v>
      </c>
      <c r="G46" s="4">
        <v>28</v>
      </c>
      <c r="H46" s="4">
        <v>150</v>
      </c>
      <c r="I46" s="6">
        <v>4200</v>
      </c>
      <c r="J46" s="17" t="str">
        <f>IF(Table1[[#This Row],[Hand-In-
Stock]]&lt;20,"Low Stock","Normal Stock")</f>
        <v>Normal Stock</v>
      </c>
      <c r="K46" s="18">
        <f>Table1[[#This Row],[Number of 
Units Sold]]/(Table1[[#This Row],[Opening 
Stock]]+Table1[[#This Row],[Purchase/
Stock in]])</f>
        <v>8.5714285714285715E-2</v>
      </c>
      <c r="L46" s="4" t="str">
        <f>IF(Table1[[#This Row],[Number of 
Units Sold]]=0,"No sales","Sold")</f>
        <v>Sold</v>
      </c>
      <c r="M46" s="19">
        <f>RANK(Table1[[#This Row],[Cost Price
Total (USD)]],Table1[Cost Price
Total (USD)],0)</f>
        <v>15</v>
      </c>
      <c r="N46" s="19" t="str">
        <f>IF(Table1[[#This Row],[Number of 
Units Sold]]&lt;AVERAGE(Table1[Hand-In-
Stock]),"Reorder now","Sufficient")</f>
        <v>Reorder now</v>
      </c>
      <c r="O46" s="19" t="str">
        <f>IF(Table1[[#This Row],[Hand-In-
Stock]]=Table1[[#This Row],[Opening 
Stock]]+Table1[[#This Row],[Purchase/
Stock in]]-Table1[[#This Row],[Number of 
Units Sold]],"Correct","Mismatch")</f>
        <v>Mismatch</v>
      </c>
    </row>
    <row r="47" spans="2:15">
      <c r="B47" s="5" t="s">
        <v>46</v>
      </c>
      <c r="C47" s="4" t="s">
        <v>47</v>
      </c>
      <c r="D47" s="4">
        <v>20</v>
      </c>
      <c r="E47" s="4">
        <v>8</v>
      </c>
      <c r="F47" s="4">
        <v>3</v>
      </c>
      <c r="G47" s="4">
        <v>25</v>
      </c>
      <c r="H47" s="4">
        <v>120</v>
      </c>
      <c r="I47" s="6">
        <v>3000</v>
      </c>
      <c r="J47" s="17" t="str">
        <f>IF(Table1[[#This Row],[Hand-In-
Stock]]&lt;20,"Low Stock","Normal Stock")</f>
        <v>Normal Stock</v>
      </c>
      <c r="K47" s="18">
        <f>Table1[[#This Row],[Number of 
Units Sold]]/(Table1[[#This Row],[Opening 
Stock]]+Table1[[#This Row],[Purchase/
Stock in]])</f>
        <v>0.10714285714285714</v>
      </c>
      <c r="L47" s="4" t="str">
        <f>IF(Table1[[#This Row],[Number of 
Units Sold]]=0,"No sales","Sold")</f>
        <v>Sold</v>
      </c>
      <c r="M47" s="19">
        <f>RANK(Table1[[#This Row],[Cost Price
Total (USD)]],Table1[Cost Price
Total (USD)],0)</f>
        <v>23</v>
      </c>
      <c r="N47" s="19" t="str">
        <f>IF(Table1[[#This Row],[Number of 
Units Sold]]&lt;AVERAGE(Table1[Hand-In-
Stock]),"Reorder now","Sufficient")</f>
        <v>Reorder now</v>
      </c>
      <c r="O47" s="19" t="str">
        <f>IF(Table1[[#This Row],[Hand-In-
Stock]]=Table1[[#This Row],[Opening 
Stock]]+Table1[[#This Row],[Purchase/
Stock in]]-Table1[[#This Row],[Number of 
Units Sold]],"Correct","Mismatch")</f>
        <v>Correct</v>
      </c>
    </row>
    <row r="48" spans="2:15">
      <c r="B48" s="5" t="s">
        <v>16</v>
      </c>
      <c r="C48" s="4" t="s">
        <v>17</v>
      </c>
      <c r="D48" s="4">
        <v>30</v>
      </c>
      <c r="E48" s="4">
        <v>10</v>
      </c>
      <c r="F48" s="4">
        <v>3</v>
      </c>
      <c r="G48" s="4">
        <v>37</v>
      </c>
      <c r="H48" s="4">
        <v>100</v>
      </c>
      <c r="I48" s="6">
        <v>3700</v>
      </c>
      <c r="J48" s="17" t="str">
        <f>IF(Table1[[#This Row],[Hand-In-
Stock]]&lt;20,"Low Stock","Normal Stock")</f>
        <v>Normal Stock</v>
      </c>
      <c r="K48" s="18">
        <f>Table1[[#This Row],[Number of 
Units Sold]]/(Table1[[#This Row],[Opening 
Stock]]+Table1[[#This Row],[Purchase/
Stock in]])</f>
        <v>7.4999999999999997E-2</v>
      </c>
      <c r="L48" s="4" t="str">
        <f>IF(Table1[[#This Row],[Number of 
Units Sold]]=0,"No sales","Sold")</f>
        <v>Sold</v>
      </c>
      <c r="M48" s="19">
        <f>RANK(Table1[[#This Row],[Cost Price
Total (USD)]],Table1[Cost Price
Total (USD)],0)</f>
        <v>19</v>
      </c>
      <c r="N48" s="19" t="str">
        <f>IF(Table1[[#This Row],[Number of 
Units Sold]]&lt;AVERAGE(Table1[Hand-In-
Stock]),"Reorder now","Sufficient")</f>
        <v>Reorder now</v>
      </c>
      <c r="O48" s="19" t="str">
        <f>IF(Table1[[#This Row],[Hand-In-
Stock]]=Table1[[#This Row],[Opening 
Stock]]+Table1[[#This Row],[Purchase/
Stock in]]-Table1[[#This Row],[Number of 
Units Sold]],"Correct","Mismatch")</f>
        <v>Correct</v>
      </c>
    </row>
    <row r="49" spans="2:15">
      <c r="B49" s="5" t="s">
        <v>70</v>
      </c>
      <c r="C49" s="4" t="s">
        <v>71</v>
      </c>
      <c r="D49" s="4">
        <v>25</v>
      </c>
      <c r="E49" s="4">
        <v>10</v>
      </c>
      <c r="F49" s="4">
        <v>3</v>
      </c>
      <c r="G49" s="4">
        <v>28</v>
      </c>
      <c r="H49" s="4">
        <v>30</v>
      </c>
      <c r="I49" s="6">
        <v>840</v>
      </c>
      <c r="J49" s="17" t="str">
        <f>IF(Table1[[#This Row],[Hand-In-
Stock]]&lt;20,"Low Stock","Normal Stock")</f>
        <v>Normal Stock</v>
      </c>
      <c r="K49" s="18">
        <f>Table1[[#This Row],[Number of 
Units Sold]]/(Table1[[#This Row],[Opening 
Stock]]+Table1[[#This Row],[Purchase/
Stock in]])</f>
        <v>8.5714285714285715E-2</v>
      </c>
      <c r="L49" s="4" t="str">
        <f>IF(Table1[[#This Row],[Number of 
Units Sold]]=0,"No sales","Sold")</f>
        <v>Sold</v>
      </c>
      <c r="M49" s="19">
        <f>RANK(Table1[[#This Row],[Cost Price
Total (USD)]],Table1[Cost Price
Total (USD)],0)</f>
        <v>33</v>
      </c>
      <c r="N49" s="19" t="str">
        <f>IF(Table1[[#This Row],[Number of 
Units Sold]]&lt;AVERAGE(Table1[Hand-In-
Stock]),"Reorder now","Sufficient")</f>
        <v>Reorder now</v>
      </c>
      <c r="O49" s="19" t="str">
        <f>IF(Table1[[#This Row],[Hand-In-
Stock]]=Table1[[#This Row],[Opening 
Stock]]+Table1[[#This Row],[Purchase/
Stock in]]-Table1[[#This Row],[Number of 
Units Sold]],"Correct","Mismatch")</f>
        <v>Mismatch</v>
      </c>
    </row>
    <row r="50" spans="2:15">
      <c r="B50" s="5" t="s">
        <v>78</v>
      </c>
      <c r="C50" s="4" t="s">
        <v>79</v>
      </c>
      <c r="D50" s="4">
        <v>20</v>
      </c>
      <c r="E50" s="4">
        <v>8</v>
      </c>
      <c r="F50" s="4">
        <v>3</v>
      </c>
      <c r="G50" s="4">
        <v>23</v>
      </c>
      <c r="H50" s="4">
        <v>20</v>
      </c>
      <c r="I50" s="6">
        <v>460</v>
      </c>
      <c r="J50" s="17" t="str">
        <f>IF(Table1[[#This Row],[Hand-In-
Stock]]&lt;20,"Low Stock","Normal Stock")</f>
        <v>Normal Stock</v>
      </c>
      <c r="K50" s="18">
        <f>Table1[[#This Row],[Number of 
Units Sold]]/(Table1[[#This Row],[Opening 
Stock]]+Table1[[#This Row],[Purchase/
Stock in]])</f>
        <v>0.10714285714285714</v>
      </c>
      <c r="L50" s="4" t="str">
        <f>IF(Table1[[#This Row],[Number of 
Units Sold]]=0,"No sales","Sold")</f>
        <v>Sold</v>
      </c>
      <c r="M50" s="19">
        <f>RANK(Table1[[#This Row],[Cost Price
Total (USD)]],Table1[Cost Price
Total (USD)],0)</f>
        <v>41</v>
      </c>
      <c r="N50" s="19" t="str">
        <f>IF(Table1[[#This Row],[Number of 
Units Sold]]&lt;AVERAGE(Table1[Hand-In-
Stock]),"Reorder now","Sufficient")</f>
        <v>Reorder now</v>
      </c>
      <c r="O50" s="19" t="str">
        <f>IF(Table1[[#This Row],[Hand-In-
Stock]]=Table1[[#This Row],[Opening 
Stock]]+Table1[[#This Row],[Purchase/
Stock in]]-Table1[[#This Row],[Number of 
Units Sold]],"Correct","Mismatch")</f>
        <v>Mismatch</v>
      </c>
    </row>
    <row r="51" spans="2:15">
      <c r="B51" s="5" t="s">
        <v>80</v>
      </c>
      <c r="C51" s="4" t="s">
        <v>81</v>
      </c>
      <c r="D51" s="4">
        <v>15</v>
      </c>
      <c r="E51" s="4">
        <v>6</v>
      </c>
      <c r="F51" s="4">
        <v>2</v>
      </c>
      <c r="G51" s="4">
        <v>17</v>
      </c>
      <c r="H51" s="4">
        <v>50</v>
      </c>
      <c r="I51" s="6">
        <v>850</v>
      </c>
      <c r="J51" s="17" t="str">
        <f>IF(Table1[[#This Row],[Hand-In-
Stock]]&lt;20,"Low Stock","Normal Stock")</f>
        <v>Low Stock</v>
      </c>
      <c r="K51" s="18">
        <f>Table1[[#This Row],[Number of 
Units Sold]]/(Table1[[#This Row],[Opening 
Stock]]+Table1[[#This Row],[Purchase/
Stock in]])</f>
        <v>9.5238095238095233E-2</v>
      </c>
      <c r="L51" s="4" t="str">
        <f>IF(Table1[[#This Row],[Number of 
Units Sold]]=0,"No sales","Sold")</f>
        <v>Sold</v>
      </c>
      <c r="M51" s="19">
        <f>RANK(Table1[[#This Row],[Cost Price
Total (USD)]],Table1[Cost Price
Total (USD)],0)</f>
        <v>32</v>
      </c>
      <c r="N51" s="19" t="str">
        <f>IF(Table1[[#This Row],[Number of 
Units Sold]]&lt;AVERAGE(Table1[Hand-In-
Stock]),"Reorder now","Sufficient")</f>
        <v>Reorder now</v>
      </c>
      <c r="O51" s="19" t="str">
        <f>IF(Table1[[#This Row],[Hand-In-
Stock]]=Table1[[#This Row],[Opening 
Stock]]+Table1[[#This Row],[Purchase/
Stock in]]-Table1[[#This Row],[Number of 
Units Sold]],"Correct","Mismatch")</f>
        <v>Mismatch</v>
      </c>
    </row>
    <row r="52" spans="2:15">
      <c r="B52" s="10" t="s">
        <v>48</v>
      </c>
      <c r="C52" s="11" t="s">
        <v>49</v>
      </c>
      <c r="D52" s="11">
        <v>15</v>
      </c>
      <c r="E52" s="11">
        <v>6</v>
      </c>
      <c r="F52" s="11">
        <v>2</v>
      </c>
      <c r="G52" s="11">
        <v>19</v>
      </c>
      <c r="H52" s="11">
        <v>200</v>
      </c>
      <c r="I52" s="12">
        <v>3800</v>
      </c>
      <c r="J52" s="17" t="str">
        <f>IF(Table1[[#This Row],[Hand-In-
Stock]]&lt;20,"Low Stock","Normal Stock")</f>
        <v>Low Stock</v>
      </c>
      <c r="K52" s="18">
        <f>Table1[[#This Row],[Number of 
Units Sold]]/(Table1[[#This Row],[Opening 
Stock]]+Table1[[#This Row],[Purchase/
Stock in]])</f>
        <v>9.5238095238095233E-2</v>
      </c>
      <c r="L52" s="11" t="str">
        <f>IF(Table1[[#This Row],[Number of 
Units Sold]]=0,"No sales","Sold")</f>
        <v>Sold</v>
      </c>
      <c r="M52" s="19">
        <f>RANK(Table1[[#This Row],[Cost Price
Total (USD)]],Table1[Cost Price
Total (USD)],0)</f>
        <v>17</v>
      </c>
      <c r="N52" s="19" t="str">
        <f>IF(Table1[[#This Row],[Number of 
Units Sold]]&lt;AVERAGE(Table1[Hand-In-
Stock]),"Reorder now","Sufficient")</f>
        <v>Reorder now</v>
      </c>
      <c r="O52" s="19" t="str">
        <f>IF(Table1[[#This Row],[Hand-In-
Stock]]=Table1[[#This Row],[Opening 
Stock]]+Table1[[#This Row],[Purchase/
Stock in]]-Table1[[#This Row],[Number of 
Units Sold]],"Correct","Mismatch")</f>
        <v>Correct</v>
      </c>
    </row>
  </sheetData>
  <conditionalFormatting sqref="B7:B5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FB67-B92F-4020-BB9D-E7E684B06C48}">
  <dimension ref="A2:B15"/>
  <sheetViews>
    <sheetView workbookViewId="0">
      <selection activeCell="A9" sqref="A9"/>
    </sheetView>
  </sheetViews>
  <sheetFormatPr defaultRowHeight="14.25"/>
  <cols>
    <col min="1" max="1" width="16.75" bestFit="1" customWidth="1"/>
    <col min="2" max="2" width="28.875" bestFit="1" customWidth="1"/>
  </cols>
  <sheetData>
    <row r="2" spans="1:2" ht="15">
      <c r="A2" s="16" t="s">
        <v>108</v>
      </c>
    </row>
    <row r="3" spans="1:2">
      <c r="A3" s="14" t="s">
        <v>3</v>
      </c>
      <c r="B3" t="s">
        <v>104</v>
      </c>
    </row>
    <row r="4" spans="1:2">
      <c r="A4" s="15" t="s">
        <v>19</v>
      </c>
      <c r="B4" s="13">
        <v>72000</v>
      </c>
    </row>
    <row r="5" spans="1:2">
      <c r="A5" s="15" t="s">
        <v>11</v>
      </c>
      <c r="B5" s="13">
        <v>72000</v>
      </c>
    </row>
    <row r="6" spans="1:2">
      <c r="A6" s="15" t="s">
        <v>21</v>
      </c>
      <c r="B6" s="13">
        <v>38500</v>
      </c>
    </row>
    <row r="7" spans="1:2">
      <c r="A7" s="15" t="s">
        <v>53</v>
      </c>
      <c r="B7" s="13">
        <v>29400</v>
      </c>
    </row>
    <row r="8" spans="1:2">
      <c r="A8" s="15" t="s">
        <v>13</v>
      </c>
      <c r="B8" s="13">
        <v>25000</v>
      </c>
    </row>
    <row r="9" spans="1:2">
      <c r="A9" s="15" t="s">
        <v>55</v>
      </c>
      <c r="B9" s="13">
        <v>13300</v>
      </c>
    </row>
    <row r="10" spans="1:2">
      <c r="A10" s="15" t="s">
        <v>51</v>
      </c>
      <c r="B10" s="13">
        <v>11600</v>
      </c>
    </row>
    <row r="11" spans="1:2">
      <c r="A11" s="15" t="s">
        <v>23</v>
      </c>
      <c r="B11" s="13">
        <v>9750</v>
      </c>
    </row>
    <row r="12" spans="1:2">
      <c r="A12" s="15" t="s">
        <v>61</v>
      </c>
      <c r="B12" s="13">
        <v>6840</v>
      </c>
    </row>
    <row r="13" spans="1:2">
      <c r="A13" s="15" t="s">
        <v>57</v>
      </c>
      <c r="B13" s="13">
        <v>6400</v>
      </c>
    </row>
    <row r="14" spans="1:2">
      <c r="A14" s="15" t="s">
        <v>25</v>
      </c>
      <c r="B14" s="13">
        <v>6400</v>
      </c>
    </row>
    <row r="15" spans="1:2">
      <c r="A15" s="15" t="s">
        <v>103</v>
      </c>
      <c r="B15" s="13">
        <v>291190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CBC1-839B-49E5-A18A-7B4E57B087CD}">
  <dimension ref="A3:B50"/>
  <sheetViews>
    <sheetView tabSelected="1" workbookViewId="0">
      <selection activeCell="B5" sqref="B5"/>
    </sheetView>
  </sheetViews>
  <sheetFormatPr defaultRowHeight="14.25"/>
  <cols>
    <col min="1" max="1" width="23.625" bestFit="1" customWidth="1"/>
    <col min="2" max="2" width="28.25" bestFit="1" customWidth="1"/>
  </cols>
  <sheetData>
    <row r="3" spans="1:2">
      <c r="A3" s="14" t="s">
        <v>102</v>
      </c>
      <c r="B3" t="s">
        <v>107</v>
      </c>
    </row>
    <row r="4" spans="1:2">
      <c r="A4" s="15" t="s">
        <v>91</v>
      </c>
      <c r="B4" s="13">
        <v>3</v>
      </c>
    </row>
    <row r="5" spans="1:2">
      <c r="A5" s="15" t="s">
        <v>77</v>
      </c>
      <c r="B5" s="13">
        <v>4</v>
      </c>
    </row>
    <row r="6" spans="1:2">
      <c r="A6" s="15" t="s">
        <v>55</v>
      </c>
      <c r="B6" s="13">
        <v>7</v>
      </c>
    </row>
    <row r="7" spans="1:2">
      <c r="A7" s="15" t="s">
        <v>69</v>
      </c>
      <c r="B7" s="13">
        <v>4</v>
      </c>
    </row>
    <row r="8" spans="1:2">
      <c r="A8" s="15" t="s">
        <v>31</v>
      </c>
      <c r="B8" s="13">
        <v>3</v>
      </c>
    </row>
    <row r="9" spans="1:2">
      <c r="A9" s="15" t="s">
        <v>33</v>
      </c>
      <c r="B9" s="13">
        <v>7</v>
      </c>
    </row>
    <row r="10" spans="1:2">
      <c r="A10" s="15" t="s">
        <v>37</v>
      </c>
      <c r="B10" s="13">
        <v>15</v>
      </c>
    </row>
    <row r="11" spans="1:2">
      <c r="A11" s="15" t="s">
        <v>81</v>
      </c>
      <c r="B11" s="13">
        <v>2</v>
      </c>
    </row>
    <row r="12" spans="1:2">
      <c r="A12" s="15" t="s">
        <v>25</v>
      </c>
      <c r="B12" s="13">
        <v>5</v>
      </c>
    </row>
    <row r="13" spans="1:2">
      <c r="A13" s="15" t="s">
        <v>49</v>
      </c>
      <c r="B13" s="13">
        <v>2</v>
      </c>
    </row>
    <row r="14" spans="1:2">
      <c r="A14" s="15" t="s">
        <v>101</v>
      </c>
      <c r="B14" s="13">
        <v>3</v>
      </c>
    </row>
    <row r="15" spans="1:2">
      <c r="A15" s="15" t="s">
        <v>47</v>
      </c>
      <c r="B15" s="13">
        <v>3</v>
      </c>
    </row>
    <row r="16" spans="1:2">
      <c r="A16" s="15" t="s">
        <v>43</v>
      </c>
      <c r="B16" s="13">
        <v>4</v>
      </c>
    </row>
    <row r="17" spans="1:2">
      <c r="A17" s="15" t="s">
        <v>51</v>
      </c>
      <c r="B17" s="13">
        <v>4</v>
      </c>
    </row>
    <row r="18" spans="1:2">
      <c r="A18" s="15" t="s">
        <v>45</v>
      </c>
      <c r="B18" s="13">
        <v>6</v>
      </c>
    </row>
    <row r="19" spans="1:2">
      <c r="A19" s="15" t="s">
        <v>53</v>
      </c>
      <c r="B19" s="13">
        <v>9</v>
      </c>
    </row>
    <row r="20" spans="1:2">
      <c r="A20" s="15" t="s">
        <v>63</v>
      </c>
      <c r="B20" s="13">
        <v>12</v>
      </c>
    </row>
    <row r="21" spans="1:2">
      <c r="A21" s="15" t="s">
        <v>17</v>
      </c>
      <c r="B21" s="13">
        <v>3</v>
      </c>
    </row>
    <row r="22" spans="1:2">
      <c r="A22" s="15" t="s">
        <v>15</v>
      </c>
      <c r="B22" s="13">
        <v>15</v>
      </c>
    </row>
    <row r="23" spans="1:2">
      <c r="A23" s="15" t="s">
        <v>85</v>
      </c>
      <c r="B23" s="13">
        <v>9</v>
      </c>
    </row>
    <row r="24" spans="1:2">
      <c r="A24" s="15" t="s">
        <v>11</v>
      </c>
      <c r="B24" s="13">
        <v>10</v>
      </c>
    </row>
    <row r="25" spans="1:2">
      <c r="A25" s="15" t="s">
        <v>87</v>
      </c>
      <c r="B25" s="13">
        <v>6</v>
      </c>
    </row>
    <row r="26" spans="1:2">
      <c r="A26" s="15" t="s">
        <v>95</v>
      </c>
      <c r="B26" s="13">
        <v>5</v>
      </c>
    </row>
    <row r="27" spans="1:2">
      <c r="A27" s="15" t="s">
        <v>13</v>
      </c>
      <c r="B27" s="13">
        <v>5</v>
      </c>
    </row>
    <row r="28" spans="1:2">
      <c r="A28" s="15" t="s">
        <v>71</v>
      </c>
      <c r="B28" s="13">
        <v>3</v>
      </c>
    </row>
    <row r="29" spans="1:2">
      <c r="A29" s="15" t="s">
        <v>57</v>
      </c>
      <c r="B29" s="13">
        <v>5</v>
      </c>
    </row>
    <row r="30" spans="1:2">
      <c r="A30" s="15" t="s">
        <v>73</v>
      </c>
      <c r="B30" s="13">
        <v>8</v>
      </c>
    </row>
    <row r="31" spans="1:2">
      <c r="A31" s="15" t="s">
        <v>67</v>
      </c>
      <c r="B31" s="13">
        <v>9</v>
      </c>
    </row>
    <row r="32" spans="1:2">
      <c r="A32" s="15" t="s">
        <v>39</v>
      </c>
      <c r="B32" s="13">
        <v>8</v>
      </c>
    </row>
    <row r="33" spans="1:2">
      <c r="A33" s="15" t="s">
        <v>65</v>
      </c>
      <c r="B33" s="13">
        <v>6</v>
      </c>
    </row>
    <row r="34" spans="1:2">
      <c r="A34" s="15" t="s">
        <v>83</v>
      </c>
      <c r="B34" s="13">
        <v>4</v>
      </c>
    </row>
    <row r="35" spans="1:2">
      <c r="A35" s="15" t="s">
        <v>59</v>
      </c>
      <c r="B35" s="13">
        <v>11</v>
      </c>
    </row>
    <row r="36" spans="1:2">
      <c r="A36" s="15" t="s">
        <v>23</v>
      </c>
      <c r="B36" s="13">
        <v>12</v>
      </c>
    </row>
    <row r="37" spans="1:2">
      <c r="A37" s="15" t="s">
        <v>19</v>
      </c>
      <c r="B37" s="13">
        <v>20</v>
      </c>
    </row>
    <row r="38" spans="1:2">
      <c r="A38" s="15" t="s">
        <v>61</v>
      </c>
      <c r="B38" s="13">
        <v>8</v>
      </c>
    </row>
    <row r="39" spans="1:2">
      <c r="A39" s="15" t="s">
        <v>21</v>
      </c>
      <c r="B39" s="13">
        <v>8</v>
      </c>
    </row>
    <row r="40" spans="1:2">
      <c r="A40" s="15" t="s">
        <v>75</v>
      </c>
      <c r="B40" s="13">
        <v>5</v>
      </c>
    </row>
    <row r="41" spans="1:2">
      <c r="A41" s="15" t="s">
        <v>35</v>
      </c>
      <c r="B41" s="13">
        <v>12</v>
      </c>
    </row>
    <row r="42" spans="1:2">
      <c r="A42" s="15" t="s">
        <v>89</v>
      </c>
      <c r="B42" s="13">
        <v>4</v>
      </c>
    </row>
    <row r="43" spans="1:2">
      <c r="A43" s="15" t="s">
        <v>93</v>
      </c>
      <c r="B43" s="13">
        <v>4</v>
      </c>
    </row>
    <row r="44" spans="1:2">
      <c r="A44" s="15" t="s">
        <v>99</v>
      </c>
      <c r="B44" s="13">
        <v>9</v>
      </c>
    </row>
    <row r="45" spans="1:2">
      <c r="A45" s="15" t="s">
        <v>29</v>
      </c>
      <c r="B45" s="13">
        <v>10</v>
      </c>
    </row>
    <row r="46" spans="1:2">
      <c r="A46" s="15" t="s">
        <v>79</v>
      </c>
      <c r="B46" s="13">
        <v>3</v>
      </c>
    </row>
    <row r="47" spans="1:2">
      <c r="A47" s="15" t="s">
        <v>97</v>
      </c>
      <c r="B47" s="13">
        <v>7</v>
      </c>
    </row>
    <row r="48" spans="1:2">
      <c r="A48" s="15" t="s">
        <v>27</v>
      </c>
      <c r="B48" s="13">
        <v>7</v>
      </c>
    </row>
    <row r="49" spans="1:2">
      <c r="A49" s="15" t="s">
        <v>41</v>
      </c>
      <c r="B49" s="13">
        <v>5</v>
      </c>
    </row>
    <row r="50" spans="1:2">
      <c r="A50" s="15" t="s">
        <v>103</v>
      </c>
      <c r="B50" s="13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Records Data</vt:lpstr>
      <vt:lpstr>Pivot</vt:lpstr>
      <vt:lpstr> Pivot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User</cp:lastModifiedBy>
  <dcterms:created xsi:type="dcterms:W3CDTF">2024-02-19T11:46:38Z</dcterms:created>
  <dcterms:modified xsi:type="dcterms:W3CDTF">2025-12-24T14:03:22Z</dcterms:modified>
</cp:coreProperties>
</file>